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ikol\Downloads\"/>
    </mc:Choice>
  </mc:AlternateContent>
  <xr:revisionPtr revIDLastSave="0" documentId="13_ncr:1_{CA7FEB7A-4294-482C-9336-B8A3948C4F0E}" xr6:coauthVersionLast="47" xr6:coauthVersionMax="47" xr10:uidLastSave="{00000000-0000-0000-0000-000000000000}"/>
  <bookViews>
    <workbookView xWindow="-108" yWindow="-108" windowWidth="23256" windowHeight="12456" xr2:uid="{B48A713D-3C6D-452B-8773-CA685824386A}"/>
  </bookViews>
  <sheets>
    <sheet name="XLOOKUP" sheetId="1" r:id="rId1"/>
    <sheet name="Risk Analysis" sheetId="2" r:id="rId2"/>
    <sheet name="Pivot Analysis" sheetId="3" r:id="rId3"/>
    <sheet name="Purpose Analysis" sheetId="4" r:id="rId4"/>
  </sheets>
  <definedNames>
    <definedName name="_xlchart.v1.0" hidden="1">'Purpose Analysis'!$A$2:$A$11</definedName>
    <definedName name="_xlchart.v1.1" hidden="1">'Purpose Analysis'!$B$1</definedName>
    <definedName name="_xlchart.v1.2" hidden="1">'Purpose Analysis'!$B$2:$B$11</definedName>
    <definedName name="_xlchart.v1.3" hidden="1">'Purpose Analysis'!$C$1</definedName>
    <definedName name="_xlchart.v1.4" hidden="1">'Purpose Analysis'!$C$2:$C$11</definedName>
    <definedName name="Slicer_purpose">#N/A</definedName>
    <definedName name="Slicer_Risk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K13" i="2"/>
  <c r="K12" i="2"/>
  <c r="K11" i="2"/>
  <c r="J13" i="2"/>
  <c r="J12" i="2"/>
  <c r="J11" i="2"/>
  <c r="H4" i="1"/>
</calcChain>
</file>

<file path=xl/sharedStrings.xml><?xml version="1.0" encoding="utf-8"?>
<sst xmlns="http://schemas.openxmlformats.org/spreadsheetml/2006/main" count="2061" uniqueCount="44">
  <si>
    <t>full_name</t>
  </si>
  <si>
    <t>city</t>
  </si>
  <si>
    <t xml:space="preserve"> Loan_Amount </t>
  </si>
  <si>
    <t>age</t>
  </si>
  <si>
    <t>Nikos Papadopoulos</t>
  </si>
  <si>
    <t>Athens</t>
  </si>
  <si>
    <t>XLOOKUP</t>
  </si>
  <si>
    <t>Maria Dimitriou</t>
  </si>
  <si>
    <t>Thessaloniki</t>
  </si>
  <si>
    <t>Loan_Amount</t>
  </si>
  <si>
    <t>Giannis Nikolaou</t>
  </si>
  <si>
    <t>Patra</t>
  </si>
  <si>
    <t>Eleni Kostopoulou</t>
  </si>
  <si>
    <t>Larissa</t>
  </si>
  <si>
    <t>Andreas Markou</t>
  </si>
  <si>
    <t>Lamia</t>
  </si>
  <si>
    <t>customer_ID</t>
  </si>
  <si>
    <t>Age</t>
  </si>
  <si>
    <t>Duration</t>
  </si>
  <si>
    <t>purpose</t>
  </si>
  <si>
    <t>Risk_category</t>
  </si>
  <si>
    <t>other</t>
  </si>
  <si>
    <t>High Risk</t>
  </si>
  <si>
    <t>business</t>
  </si>
  <si>
    <t>radio/tv</t>
  </si>
  <si>
    <t>new car</t>
  </si>
  <si>
    <t>furniture/equipment</t>
  </si>
  <si>
    <t>used car</t>
  </si>
  <si>
    <t>education</t>
  </si>
  <si>
    <t>repairs</t>
  </si>
  <si>
    <t>Medium Risk</t>
  </si>
  <si>
    <t>domestic appliance</t>
  </si>
  <si>
    <t>retraining</t>
  </si>
  <si>
    <t>Low Risk</t>
  </si>
  <si>
    <t>SUM OF LOANS</t>
  </si>
  <si>
    <t>COUNT OF LOANS</t>
  </si>
  <si>
    <t>Column Labels</t>
  </si>
  <si>
    <t>Grand Total</t>
  </si>
  <si>
    <t>Row Labels</t>
  </si>
  <si>
    <t>Sum of Loan_Amount</t>
  </si>
  <si>
    <t>Purpose</t>
  </si>
  <si>
    <t>Total_Loans</t>
  </si>
  <si>
    <t>Average_Loan_Amount</t>
  </si>
  <si>
    <t>Search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</si>
</sst>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8]_-;\-* #,##0.00\ [$€-408]_-;_-* &quot;-&quot;??\ [$€-408]_-;_-@_-"/>
  </numFmts>
  <fonts count="21" x14ac:knownFonts="1">
    <font>
      <sz val="11"/>
      <color theme="1"/>
      <name val="Calibri"/>
      <family val="2"/>
      <charset val="161"/>
      <scheme val="minor"/>
    </font>
    <font>
      <sz val="11"/>
      <color theme="1"/>
      <name val="Calibri"/>
      <family val="2"/>
      <charset val="161"/>
      <scheme val="minor"/>
    </font>
    <font>
      <sz val="18"/>
      <color theme="3"/>
      <name val="Calibri Light"/>
      <family val="2"/>
      <charset val="161"/>
      <scheme val="major"/>
    </font>
    <font>
      <b/>
      <sz val="15"/>
      <color theme="3"/>
      <name val="Calibri"/>
      <family val="2"/>
      <charset val="161"/>
      <scheme val="minor"/>
    </font>
    <font>
      <b/>
      <sz val="13"/>
      <color theme="3"/>
      <name val="Calibri"/>
      <family val="2"/>
      <charset val="161"/>
      <scheme val="minor"/>
    </font>
    <font>
      <b/>
      <sz val="11"/>
      <color theme="3"/>
      <name val="Calibri"/>
      <family val="2"/>
      <charset val="161"/>
      <scheme val="minor"/>
    </font>
    <font>
      <sz val="11"/>
      <color rgb="FF006100"/>
      <name val="Calibri"/>
      <family val="2"/>
      <charset val="161"/>
      <scheme val="minor"/>
    </font>
    <font>
      <sz val="11"/>
      <color rgb="FF9C0006"/>
      <name val="Calibri"/>
      <family val="2"/>
      <charset val="161"/>
      <scheme val="minor"/>
    </font>
    <font>
      <sz val="11"/>
      <color rgb="FF9C5700"/>
      <name val="Calibri"/>
      <family val="2"/>
      <charset val="161"/>
      <scheme val="minor"/>
    </font>
    <font>
      <sz val="11"/>
      <color rgb="FF3F3F76"/>
      <name val="Calibri"/>
      <family val="2"/>
      <charset val="161"/>
      <scheme val="minor"/>
    </font>
    <font>
      <b/>
      <sz val="11"/>
      <color rgb="FF3F3F3F"/>
      <name val="Calibri"/>
      <family val="2"/>
      <charset val="161"/>
      <scheme val="minor"/>
    </font>
    <font>
      <b/>
      <sz val="11"/>
      <color rgb="FFFA7D00"/>
      <name val="Calibri"/>
      <family val="2"/>
      <charset val="161"/>
      <scheme val="minor"/>
    </font>
    <font>
      <sz val="11"/>
      <color rgb="FFFA7D00"/>
      <name val="Calibri"/>
      <family val="2"/>
      <charset val="161"/>
      <scheme val="minor"/>
    </font>
    <font>
      <b/>
      <sz val="11"/>
      <color theme="0"/>
      <name val="Calibri"/>
      <family val="2"/>
      <charset val="161"/>
      <scheme val="minor"/>
    </font>
    <font>
      <sz val="11"/>
      <color rgb="FFFF0000"/>
      <name val="Calibri"/>
      <family val="2"/>
      <charset val="161"/>
      <scheme val="minor"/>
    </font>
    <font>
      <i/>
      <sz val="11"/>
      <color rgb="FF7F7F7F"/>
      <name val="Calibri"/>
      <family val="2"/>
      <charset val="161"/>
      <scheme val="minor"/>
    </font>
    <font>
      <b/>
      <sz val="11"/>
      <color theme="1"/>
      <name val="Calibri"/>
      <family val="2"/>
      <charset val="161"/>
      <scheme val="minor"/>
    </font>
    <font>
      <sz val="11"/>
      <color theme="0"/>
      <name val="Calibri"/>
      <family val="2"/>
      <charset val="161"/>
      <scheme val="minor"/>
    </font>
    <font>
      <sz val="14"/>
      <color theme="1"/>
      <name val="Calibri"/>
      <family val="2"/>
      <charset val="161"/>
      <scheme val="minor"/>
    </font>
    <font>
      <b/>
      <sz val="14"/>
      <color theme="1"/>
      <name val="Calibri"/>
      <family val="2"/>
      <charset val="161"/>
      <scheme val="minor"/>
    </font>
    <font>
      <b/>
      <sz val="12"/>
      <color theme="1"/>
      <name val="Calibri"/>
      <family val="2"/>
      <charset val="161"/>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9" fillId="34" borderId="0" xfId="0" applyFont="1" applyFill="1" applyAlignment="1">
      <alignment horizontal="center" vertical="center"/>
    </xf>
    <xf numFmtId="0" fontId="0" fillId="0" borderId="0" xfId="0" applyAlignment="1">
      <alignment horizontal="center" vertical="center"/>
    </xf>
    <xf numFmtId="0" fontId="18" fillId="0" borderId="0" xfId="0" applyFont="1" applyAlignment="1">
      <alignment horizontal="center" vertical="center"/>
    </xf>
    <xf numFmtId="0" fontId="0" fillId="36" borderId="0" xfId="0" applyFill="1"/>
    <xf numFmtId="164" fontId="18" fillId="0" borderId="0" xfId="0" applyNumberFormat="1" applyFont="1" applyAlignment="1">
      <alignment horizontal="center" vertical="center"/>
    </xf>
    <xf numFmtId="164" fontId="0" fillId="0" borderId="0" xfId="0" applyNumberFormat="1" applyAlignment="1">
      <alignment horizontal="center" vertical="center"/>
    </xf>
    <xf numFmtId="164" fontId="0" fillId="0" borderId="0" xfId="0" applyNumberFormat="1"/>
    <xf numFmtId="0" fontId="16" fillId="37" borderId="0" xfId="0" applyFont="1" applyFill="1" applyAlignment="1">
      <alignment horizontal="center" vertical="center"/>
    </xf>
    <xf numFmtId="0" fontId="20" fillId="37" borderId="0" xfId="0" applyFont="1" applyFill="1"/>
    <xf numFmtId="0" fontId="0" fillId="0" borderId="0" xfId="0" pivotButton="1"/>
    <xf numFmtId="0" fontId="0" fillId="0" borderId="0" xfId="0" applyAlignment="1">
      <alignment horizontal="left"/>
    </xf>
    <xf numFmtId="164" fontId="19" fillId="34" borderId="0" xfId="0" applyNumberFormat="1" applyFont="1" applyFill="1" applyAlignment="1">
      <alignment horizontal="center" vertical="center"/>
    </xf>
    <xf numFmtId="164" fontId="0" fillId="33" borderId="0" xfId="0" applyNumberFormat="1" applyFill="1" applyAlignment="1">
      <alignment horizontal="center" vertical="center"/>
    </xf>
    <xf numFmtId="0" fontId="0" fillId="35" borderId="0" xfId="0" applyFill="1" applyAlignment="1">
      <alignment horizontal="center" vertical="center"/>
    </xf>
    <xf numFmtId="164" fontId="0" fillId="35" borderId="0" xfId="0" applyNumberFormat="1" applyFill="1" applyAlignment="1">
      <alignment horizontal="center" vertical="center"/>
    </xf>
    <xf numFmtId="0" fontId="0" fillId="33" borderId="0" xfId="0" applyFill="1" applyAlignment="1">
      <alignment horizontal="center" vertical="center"/>
    </xf>
    <xf numFmtId="164" fontId="20" fillId="34" borderId="0" xfId="0" applyNumberFormat="1" applyFont="1" applyFill="1" applyAlignment="1">
      <alignment horizontal="center" vertical="center"/>
    </xf>
    <xf numFmtId="0" fontId="20" fillId="34" borderId="0" xfId="0" applyFont="1" applyFill="1" applyAlignment="1">
      <alignment horizontal="center" vertical="center"/>
    </xf>
    <xf numFmtId="0" fontId="0" fillId="36" borderId="0" xfId="0" applyFill="1" applyAlignment="1">
      <alignment horizontal="center" vertical="center"/>
    </xf>
    <xf numFmtId="0" fontId="20" fillId="38"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patternType="solid">
          <fgColor indexed="64"/>
          <bgColor theme="3"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4"/>
        <color theme="1"/>
        <name val="Calibri"/>
        <family val="2"/>
        <charset val="161"/>
        <scheme val="minor"/>
      </font>
      <fill>
        <patternFill patternType="solid">
          <fgColor indexed="64"/>
          <bgColor theme="4" tint="0.39997558519241921"/>
        </patternFill>
      </fill>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numFmt numFmtId="164" formatCode="_-* #,##0.00\ [$€-408]_-;\-* #,##0.00\ [$€-408]_-;_-* &quot;-&quot;??\ [$€-408]_-;_-@_-"/>
      <fill>
        <patternFill patternType="solid">
          <fgColor indexed="64"/>
          <bgColor theme="3" tint="0.79998168889431442"/>
        </patternFill>
      </fill>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64" formatCode="_-* #,##0.00\ [$€-408]_-;\-* #,##0.00\ [$€-408]_-;_-* &quot;-&quot;??\ [$€-408]_-;_-@_-"/>
      <alignment horizontal="center" vertical="center" textRotation="0" wrapText="0" indent="0" justifyLastLine="0" shrinkToFit="0" readingOrder="0"/>
    </dxf>
    <dxf>
      <numFmt numFmtId="164" formatCode="_-* #,##0.00\ [$€-408]_-;\-* #,##0.00\ [$€-408]_-;_-* &quot;-&quot;??\ [$€-408]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_-* #,##0.00\ [$€-408]_-;\-* #,##0.00\ [$€-408]_-;_-* &quot;-&quot;??\ [$€-408]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4"/>
        <color theme="1"/>
        <name val="Calibri"/>
        <family val="2"/>
        <charset val="161"/>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Risk</a:t>
            </a:r>
            <a:r>
              <a:rPr lang="en-US" baseline="0"/>
              <a:t> Overview</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7A-4764-823C-3286D45CCC8C}"/>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7A-4764-823C-3286D45CCC8C}"/>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7A-4764-823C-3286D45CCC8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'Risk Analysis'!$I$11:$I$13</c:f>
              <c:strCache>
                <c:ptCount val="3"/>
                <c:pt idx="0">
                  <c:v>High Risk</c:v>
                </c:pt>
                <c:pt idx="1">
                  <c:v>Medium Risk</c:v>
                </c:pt>
                <c:pt idx="2">
                  <c:v>Low Risk</c:v>
                </c:pt>
              </c:strCache>
            </c:strRef>
          </c:cat>
          <c:val>
            <c:numRef>
              <c:f>'Risk Analysis'!$J$11:$J$13</c:f>
              <c:numCache>
                <c:formatCode>General</c:formatCode>
                <c:ptCount val="3"/>
                <c:pt idx="0">
                  <c:v>412</c:v>
                </c:pt>
                <c:pt idx="1">
                  <c:v>275</c:v>
                </c:pt>
                <c:pt idx="2">
                  <c:v>313</c:v>
                </c:pt>
              </c:numCache>
            </c:numRef>
          </c:val>
          <c:extLst>
            <c:ext xmlns:c16="http://schemas.microsoft.com/office/drawing/2014/chart" uri="{C3380CC4-5D6E-409C-BE32-E72D297353CC}">
              <c16:uniqueId val="{00000000-B03A-49B2-A65B-DB698317276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[Loan_Risk_Analysis.xlsx]Pivot Analysis!PivotTable1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Analysis'!$B$3:$B$4</c:f>
              <c:strCache>
                <c:ptCount val="1"/>
                <c:pt idx="0">
                  <c:v>High Risk</c:v>
                </c:pt>
              </c:strCache>
            </c:strRef>
          </c:tx>
          <c:spPr>
            <a:solidFill>
              <a:schemeClr val="accent1"/>
            </a:solidFill>
            <a:ln>
              <a:noFill/>
            </a:ln>
            <a:effectLst/>
          </c:spPr>
          <c:invertIfNegative val="0"/>
          <c:cat>
            <c:strRef>
              <c:f>'Pivot Analysis'!$A$5:$A$15</c:f>
              <c:strCache>
                <c:ptCount val="10"/>
                <c:pt idx="0">
                  <c:v>business</c:v>
                </c:pt>
                <c:pt idx="1">
                  <c:v>domestic appliance</c:v>
                </c:pt>
                <c:pt idx="2">
                  <c:v>education</c:v>
                </c:pt>
                <c:pt idx="3">
                  <c:v>furniture/equipment</c:v>
                </c:pt>
                <c:pt idx="4">
                  <c:v>new car</c:v>
                </c:pt>
                <c:pt idx="5">
                  <c:v>other</c:v>
                </c:pt>
                <c:pt idx="6">
                  <c:v>radio/tv</c:v>
                </c:pt>
                <c:pt idx="7">
                  <c:v>repairs</c:v>
                </c:pt>
                <c:pt idx="8">
                  <c:v>retraining</c:v>
                </c:pt>
                <c:pt idx="9">
                  <c:v>used car</c:v>
                </c:pt>
              </c:strCache>
            </c:strRef>
          </c:cat>
          <c:val>
            <c:numRef>
              <c:f>'Pivot Analysis'!$B$5:$B$15</c:f>
              <c:numCache>
                <c:formatCode>_-* #,##0.00\ [$€-408]_-;\-* #,##0.00\ [$€-408]_-;_-* "-"??\ [$€-408]_-;_-@_-</c:formatCode>
                <c:ptCount val="10"/>
                <c:pt idx="0">
                  <c:v>217965</c:v>
                </c:pt>
                <c:pt idx="1">
                  <c:v>4628</c:v>
                </c:pt>
                <c:pt idx="2">
                  <c:v>78870</c:v>
                </c:pt>
                <c:pt idx="3">
                  <c:v>206864</c:v>
                </c:pt>
                <c:pt idx="4">
                  <c:v>379701</c:v>
                </c:pt>
                <c:pt idx="5">
                  <c:v>85653</c:v>
                </c:pt>
                <c:pt idx="6">
                  <c:v>296825</c:v>
                </c:pt>
                <c:pt idx="7">
                  <c:v>29151</c:v>
                </c:pt>
                <c:pt idx="8">
                  <c:v>937</c:v>
                </c:pt>
                <c:pt idx="9">
                  <c:v>313196</c:v>
                </c:pt>
              </c:numCache>
            </c:numRef>
          </c:val>
          <c:extLst>
            <c:ext xmlns:c16="http://schemas.microsoft.com/office/drawing/2014/chart" uri="{C3380CC4-5D6E-409C-BE32-E72D297353CC}">
              <c16:uniqueId val="{00000000-085A-4016-BCFD-3C05639E7046}"/>
            </c:ext>
          </c:extLst>
        </c:ser>
        <c:ser>
          <c:idx val="1"/>
          <c:order val="1"/>
          <c:tx>
            <c:strRef>
              <c:f>'Pivot Analysis'!$C$3:$C$4</c:f>
              <c:strCache>
                <c:ptCount val="1"/>
                <c:pt idx="0">
                  <c:v>Low Risk</c:v>
                </c:pt>
              </c:strCache>
            </c:strRef>
          </c:tx>
          <c:spPr>
            <a:solidFill>
              <a:schemeClr val="accent2"/>
            </a:solidFill>
            <a:ln>
              <a:noFill/>
            </a:ln>
            <a:effectLst/>
          </c:spPr>
          <c:invertIfNegative val="0"/>
          <c:cat>
            <c:strRef>
              <c:f>'Pivot Analysis'!$A$5:$A$15</c:f>
              <c:strCache>
                <c:ptCount val="10"/>
                <c:pt idx="0">
                  <c:v>business</c:v>
                </c:pt>
                <c:pt idx="1">
                  <c:v>domestic appliance</c:v>
                </c:pt>
                <c:pt idx="2">
                  <c:v>education</c:v>
                </c:pt>
                <c:pt idx="3">
                  <c:v>furniture/equipment</c:v>
                </c:pt>
                <c:pt idx="4">
                  <c:v>new car</c:v>
                </c:pt>
                <c:pt idx="5">
                  <c:v>other</c:v>
                </c:pt>
                <c:pt idx="6">
                  <c:v>radio/tv</c:v>
                </c:pt>
                <c:pt idx="7">
                  <c:v>repairs</c:v>
                </c:pt>
                <c:pt idx="8">
                  <c:v>retraining</c:v>
                </c:pt>
                <c:pt idx="9">
                  <c:v>used car</c:v>
                </c:pt>
              </c:strCache>
            </c:strRef>
          </c:cat>
          <c:val>
            <c:numRef>
              <c:f>'Pivot Analysis'!$C$5:$C$15</c:f>
              <c:numCache>
                <c:formatCode>_-* #,##0.00\ [$€-408]_-;\-* #,##0.00\ [$€-408]_-;_-* "-"??\ [$€-408]_-;_-@_-</c:formatCode>
                <c:ptCount val="10"/>
                <c:pt idx="0">
                  <c:v>20339</c:v>
                </c:pt>
                <c:pt idx="1">
                  <c:v>6307</c:v>
                </c:pt>
                <c:pt idx="2">
                  <c:v>23755</c:v>
                </c:pt>
                <c:pt idx="3">
                  <c:v>94841</c:v>
                </c:pt>
                <c:pt idx="4">
                  <c:v>114233</c:v>
                </c:pt>
                <c:pt idx="5">
                  <c:v>1164</c:v>
                </c:pt>
                <c:pt idx="6">
                  <c:v>134646</c:v>
                </c:pt>
                <c:pt idx="7">
                  <c:v>6700</c:v>
                </c:pt>
                <c:pt idx="8">
                  <c:v>6469</c:v>
                </c:pt>
                <c:pt idx="9">
                  <c:v>22325</c:v>
                </c:pt>
              </c:numCache>
            </c:numRef>
          </c:val>
          <c:extLst>
            <c:ext xmlns:c16="http://schemas.microsoft.com/office/drawing/2014/chart" uri="{C3380CC4-5D6E-409C-BE32-E72D297353CC}">
              <c16:uniqueId val="{00000009-085A-4016-BCFD-3C05639E7046}"/>
            </c:ext>
          </c:extLst>
        </c:ser>
        <c:ser>
          <c:idx val="2"/>
          <c:order val="2"/>
          <c:tx>
            <c:strRef>
              <c:f>'Pivot Analysis'!$D$3:$D$4</c:f>
              <c:strCache>
                <c:ptCount val="1"/>
                <c:pt idx="0">
                  <c:v>Medium Risk</c:v>
                </c:pt>
              </c:strCache>
            </c:strRef>
          </c:tx>
          <c:spPr>
            <a:solidFill>
              <a:schemeClr val="accent3"/>
            </a:solidFill>
            <a:ln>
              <a:noFill/>
            </a:ln>
            <a:effectLst/>
          </c:spPr>
          <c:invertIfNegative val="0"/>
          <c:cat>
            <c:strRef>
              <c:f>'Pivot Analysis'!$A$5:$A$15</c:f>
              <c:strCache>
                <c:ptCount val="10"/>
                <c:pt idx="0">
                  <c:v>business</c:v>
                </c:pt>
                <c:pt idx="1">
                  <c:v>domestic appliance</c:v>
                </c:pt>
                <c:pt idx="2">
                  <c:v>education</c:v>
                </c:pt>
                <c:pt idx="3">
                  <c:v>furniture/equipment</c:v>
                </c:pt>
                <c:pt idx="4">
                  <c:v>new car</c:v>
                </c:pt>
                <c:pt idx="5">
                  <c:v>other</c:v>
                </c:pt>
                <c:pt idx="6">
                  <c:v>radio/tv</c:v>
                </c:pt>
                <c:pt idx="7">
                  <c:v>repairs</c:v>
                </c:pt>
                <c:pt idx="8">
                  <c:v>retraining</c:v>
                </c:pt>
                <c:pt idx="9">
                  <c:v>used car</c:v>
                </c:pt>
              </c:strCache>
            </c:strRef>
          </c:cat>
          <c:val>
            <c:numRef>
              <c:f>'Pivot Analysis'!$D$5:$D$15</c:f>
              <c:numCache>
                <c:formatCode>_-* #,##0.00\ [$€-408]_-;\-* #,##0.00\ [$€-408]_-;_-* "-"??\ [$€-408]_-;_-@_-</c:formatCode>
                <c:ptCount val="10"/>
                <c:pt idx="0">
                  <c:v>165026</c:v>
                </c:pt>
                <c:pt idx="1">
                  <c:v>7041</c:v>
                </c:pt>
                <c:pt idx="2">
                  <c:v>56395</c:v>
                </c:pt>
                <c:pt idx="3">
                  <c:v>253420</c:v>
                </c:pt>
                <c:pt idx="4">
                  <c:v>222814</c:v>
                </c:pt>
                <c:pt idx="5">
                  <c:v>11695</c:v>
                </c:pt>
                <c:pt idx="6">
                  <c:v>265072</c:v>
                </c:pt>
                <c:pt idx="7">
                  <c:v>24167</c:v>
                </c:pt>
                <c:pt idx="8">
                  <c:v>3447</c:v>
                </c:pt>
                <c:pt idx="9">
                  <c:v>217612</c:v>
                </c:pt>
              </c:numCache>
            </c:numRef>
          </c:val>
          <c:extLst>
            <c:ext xmlns:c16="http://schemas.microsoft.com/office/drawing/2014/chart" uri="{C3380CC4-5D6E-409C-BE32-E72D297353CC}">
              <c16:uniqueId val="{0000000A-085A-4016-BCFD-3C05639E7046}"/>
            </c:ext>
          </c:extLst>
        </c:ser>
        <c:dLbls>
          <c:showLegendKey val="0"/>
          <c:showVal val="0"/>
          <c:showCatName val="0"/>
          <c:showSerName val="0"/>
          <c:showPercent val="0"/>
          <c:showBubbleSize val="0"/>
        </c:dLbls>
        <c:gapWidth val="444"/>
        <c:overlap val="-90"/>
        <c:axId val="265793487"/>
        <c:axId val="265810287"/>
      </c:barChart>
      <c:catAx>
        <c:axId val="265793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5810287"/>
        <c:crosses val="autoZero"/>
        <c:auto val="1"/>
        <c:lblAlgn val="ctr"/>
        <c:lblOffset val="100"/>
        <c:noMultiLvlLbl val="0"/>
      </c:catAx>
      <c:valAx>
        <c:axId val="265810287"/>
        <c:scaling>
          <c:orientation val="minMax"/>
        </c:scaling>
        <c:delete val="0"/>
        <c:axPos val="l"/>
        <c:majorGridlines>
          <c:spPr>
            <a:ln w="9525" cap="flat" cmpd="sng" algn="ctr">
              <a:solidFill>
                <a:schemeClr val="tx1">
                  <a:lumMod val="15000"/>
                  <a:lumOff val="85000"/>
                </a:schemeClr>
              </a:solidFill>
              <a:round/>
            </a:ln>
            <a:effectLst/>
          </c:spPr>
        </c:majorGridlines>
        <c:numFmt formatCode="_-* #,##0.00\ [$€-408]_-;\-* #,##0.00\ [$€-408]_-;_-* &quot;-&quot;??\ [$€-408]_-;_-@_-"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79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42290026246719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'Purpose Analysis'!$C$1</c:f>
              <c:strCache>
                <c:ptCount val="1"/>
                <c:pt idx="0">
                  <c:v> Average_Loan_Amount </c:v>
                </c:pt>
              </c:strCache>
            </c:strRef>
          </c:tx>
          <c:spPr>
            <a:solidFill>
              <a:schemeClr val="accent1"/>
            </a:solidFill>
            <a:ln>
              <a:noFill/>
            </a:ln>
            <a:effectLst/>
          </c:spPr>
          <c:invertIfNegative val="0"/>
          <c:cat>
            <c:strRef>
              <c:f>'Purpose Analysis'!$A$2:$A$11</c:f>
              <c:strCache>
                <c:ptCount val="10"/>
                <c:pt idx="0">
                  <c:v>radio/tv</c:v>
                </c:pt>
                <c:pt idx="1">
                  <c:v>new car</c:v>
                </c:pt>
                <c:pt idx="2">
                  <c:v>furniture/equipment</c:v>
                </c:pt>
                <c:pt idx="3">
                  <c:v>used car</c:v>
                </c:pt>
                <c:pt idx="4">
                  <c:v>business</c:v>
                </c:pt>
                <c:pt idx="5">
                  <c:v>education</c:v>
                </c:pt>
                <c:pt idx="6">
                  <c:v>repairs</c:v>
                </c:pt>
                <c:pt idx="7">
                  <c:v>domestic appliance</c:v>
                </c:pt>
                <c:pt idx="8">
                  <c:v>other</c:v>
                </c:pt>
                <c:pt idx="9">
                  <c:v>retraining</c:v>
                </c:pt>
              </c:strCache>
            </c:strRef>
          </c:cat>
          <c:val>
            <c:numRef>
              <c:f>'Purpose Analysis'!$C$2:$C$11</c:f>
              <c:numCache>
                <c:formatCode>_-* #,##0.00\ [$€-408]_-;\-* #,##0.00\ [$€-408]_-;_-* "-"??\ [$€-408]_-;_-@_-</c:formatCode>
                <c:ptCount val="10"/>
                <c:pt idx="0">
                  <c:v>24876536</c:v>
                </c:pt>
                <c:pt idx="1">
                  <c:v>30630256</c:v>
                </c:pt>
                <c:pt idx="2">
                  <c:v>30669890</c:v>
                </c:pt>
                <c:pt idx="3">
                  <c:v>53702233</c:v>
                </c:pt>
                <c:pt idx="4">
                  <c:v>41580412</c:v>
                </c:pt>
                <c:pt idx="5">
                  <c:v>31804000</c:v>
                </c:pt>
                <c:pt idx="6">
                  <c:v>27280909</c:v>
                </c:pt>
                <c:pt idx="7">
                  <c:v>14980000</c:v>
                </c:pt>
                <c:pt idx="8">
                  <c:v>82093333</c:v>
                </c:pt>
                <c:pt idx="9">
                  <c:v>12058889</c:v>
                </c:pt>
              </c:numCache>
            </c:numRef>
          </c:val>
          <c:extLst>
            <c:ext xmlns:c16="http://schemas.microsoft.com/office/drawing/2014/chart" uri="{C3380CC4-5D6E-409C-BE32-E72D297353CC}">
              <c16:uniqueId val="{00000000-1961-4DF0-A8BE-F53AB48B1AB7}"/>
            </c:ext>
          </c:extLst>
        </c:ser>
        <c:dLbls>
          <c:showLegendKey val="0"/>
          <c:showVal val="0"/>
          <c:showCatName val="0"/>
          <c:showSerName val="0"/>
          <c:showPercent val="0"/>
          <c:showBubbleSize val="0"/>
        </c:dLbls>
        <c:gapWidth val="182"/>
        <c:axId val="512193871"/>
        <c:axId val="584680047"/>
      </c:barChart>
      <c:catAx>
        <c:axId val="51219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680047"/>
        <c:crosses val="autoZero"/>
        <c:auto val="1"/>
        <c:lblAlgn val="ctr"/>
        <c:lblOffset val="100"/>
        <c:noMultiLvlLbl val="0"/>
      </c:catAx>
      <c:valAx>
        <c:axId val="584680047"/>
        <c:scaling>
          <c:orientation val="minMax"/>
        </c:scaling>
        <c:delete val="0"/>
        <c:axPos val="b"/>
        <c:majorGridlines>
          <c:spPr>
            <a:ln w="9525" cap="flat" cmpd="sng" algn="ctr">
              <a:solidFill>
                <a:schemeClr val="tx1">
                  <a:lumMod val="15000"/>
                  <a:lumOff val="85000"/>
                </a:schemeClr>
              </a:solidFill>
              <a:round/>
            </a:ln>
            <a:effectLst/>
          </c:spPr>
        </c:majorGridlines>
        <c:numFmt formatCode="_-* #,##0.00\ [$€-408]_-;\-* #,##0.00\ [$€-408]_-;_-* &quot;-&quot;??\ [$€-408]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9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tx>
        <cx:txData>
          <cx:v>Purpose Analysis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Purpose Analysis</a:t>
          </a:r>
        </a:p>
      </cx:txPr>
    </cx:title>
    <cx:plotArea>
      <cx:plotAreaRegion>
        <cx:series layoutId="treemap" uniqueId="{AD087090-7840-4B6B-89FA-E5D2B42659B7}" formatIdx="0">
          <cx:tx>
            <cx:txData>
              <cx:f>_xlchart.v1.1</cx:f>
              <cx:v> Total_Loans </cx:v>
            </cx:txData>
          </cx:tx>
          <cx:dataLabels pos="inEnd">
            <cx:visibility seriesName="0" categoryName="1" value="0"/>
          </cx:dataLabels>
          <cx:dataId val="0"/>
          <cx:layoutPr>
            <cx:parentLabelLayout val="overlapping"/>
          </cx:layoutPr>
        </cx:series>
        <cx:series layoutId="treemap" hidden="1" uniqueId="{8A34735C-A5D5-4445-A44E-3FECF5A88119}" formatIdx="1">
          <cx:tx>
            <cx:txData>
              <cx:f>_xlchart.v1.3</cx:f>
              <cx:v> Average_Loan_Amount </cx:v>
            </cx:txData>
          </cx:tx>
          <cx:dataLabels pos="inEnd">
            <cx:visibility seriesName="0" categoryName="1" value="0"/>
          </cx:dataLabels>
          <cx:dataId val="1"/>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594360</xdr:colOff>
      <xdr:row>14</xdr:row>
      <xdr:rowOff>45720</xdr:rowOff>
    </xdr:from>
    <xdr:to>
      <xdr:col>11</xdr:col>
      <xdr:colOff>327660</xdr:colOff>
      <xdr:row>29</xdr:row>
      <xdr:rowOff>3810</xdr:rowOff>
    </xdr:to>
    <xdr:graphicFrame macro="">
      <xdr:nvGraphicFramePr>
        <xdr:cNvPr id="2" name="Chart 1">
          <a:extLst>
            <a:ext uri="{FF2B5EF4-FFF2-40B4-BE49-F238E27FC236}">
              <a16:creationId xmlns:a16="http://schemas.microsoft.com/office/drawing/2014/main" id="{475520EB-A971-0D23-E24E-A7B50D047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342900</xdr:colOff>
      <xdr:row>4</xdr:row>
      <xdr:rowOff>30481</xdr:rowOff>
    </xdr:from>
    <xdr:to>
      <xdr:col>7</xdr:col>
      <xdr:colOff>609600</xdr:colOff>
      <xdr:row>13</xdr:row>
      <xdr:rowOff>114301</xdr:rowOff>
    </xdr:to>
    <mc:AlternateContent xmlns:mc="http://schemas.openxmlformats.org/markup-compatibility/2006" xmlns:a14="http://schemas.microsoft.com/office/drawing/2010/main">
      <mc:Choice Requires="a14">
        <xdr:graphicFrame macro="">
          <xdr:nvGraphicFramePr>
            <xdr:cNvPr id="3" name="purpose">
              <a:extLst>
                <a:ext uri="{FF2B5EF4-FFF2-40B4-BE49-F238E27FC236}">
                  <a16:creationId xmlns:a16="http://schemas.microsoft.com/office/drawing/2014/main" id="{21F30A56-25AE-4E91-55A8-35DCEA4AC797}"/>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mlns="">
        <xdr:sp macro="" textlink="">
          <xdr:nvSpPr>
            <xdr:cNvPr id="0" name=""/>
            <xdr:cNvSpPr>
              <a:spLocks noTextEdit="1"/>
            </xdr:cNvSpPr>
          </xdr:nvSpPr>
          <xdr:spPr>
            <a:xfrm>
              <a:off x="5638800" y="76200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693420</xdr:colOff>
      <xdr:row>4</xdr:row>
      <xdr:rowOff>45721</xdr:rowOff>
    </xdr:from>
    <xdr:to>
      <xdr:col>10</xdr:col>
      <xdr:colOff>76200</xdr:colOff>
      <xdr:row>13</xdr:row>
      <xdr:rowOff>15241</xdr:rowOff>
    </xdr:to>
    <mc:AlternateContent xmlns:mc="http://schemas.openxmlformats.org/markup-compatibility/2006" xmlns:a14="http://schemas.microsoft.com/office/drawing/2010/main">
      <mc:Choice Requires="a14">
        <xdr:graphicFrame macro="">
          <xdr:nvGraphicFramePr>
            <xdr:cNvPr id="4" name="Risk_category">
              <a:extLst>
                <a:ext uri="{FF2B5EF4-FFF2-40B4-BE49-F238E27FC236}">
                  <a16:creationId xmlns:a16="http://schemas.microsoft.com/office/drawing/2014/main" id="{5EAC66D9-AB62-8968-032E-520ABAC83921}"/>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7551420" y="777241"/>
              <a:ext cx="1828800" cy="161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15</xdr:row>
      <xdr:rowOff>110490</xdr:rowOff>
    </xdr:from>
    <xdr:to>
      <xdr:col>6</xdr:col>
      <xdr:colOff>350520</xdr:colOff>
      <xdr:row>30</xdr:row>
      <xdr:rowOff>91440</xdr:rowOff>
    </xdr:to>
    <xdr:graphicFrame macro="">
      <xdr:nvGraphicFramePr>
        <xdr:cNvPr id="5" name="Chart 4">
          <a:extLst>
            <a:ext uri="{FF2B5EF4-FFF2-40B4-BE49-F238E27FC236}">
              <a16:creationId xmlns:a16="http://schemas.microsoft.com/office/drawing/2014/main" id="{8E644AA3-76B8-C040-BDB9-2022AD455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205740</xdr:colOff>
      <xdr:row>0</xdr:row>
      <xdr:rowOff>64770</xdr:rowOff>
    </xdr:from>
    <xdr:to>
      <xdr:col>15</xdr:col>
      <xdr:colOff>114300</xdr:colOff>
      <xdr:row>14</xdr:row>
      <xdr:rowOff>125730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ED08DF9-672E-2210-E7E0-5567C9BA42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41520" y="64770"/>
              <a:ext cx="72237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213360</xdr:colOff>
      <xdr:row>15</xdr:row>
      <xdr:rowOff>49530</xdr:rowOff>
    </xdr:from>
    <xdr:to>
      <xdr:col>15</xdr:col>
      <xdr:colOff>106680</xdr:colOff>
      <xdr:row>30</xdr:row>
      <xdr:rowOff>49530</xdr:rowOff>
    </xdr:to>
    <xdr:graphicFrame macro="">
      <xdr:nvGraphicFramePr>
        <xdr:cNvPr id="4" name="Chart 3">
          <a:extLst>
            <a:ext uri="{FF2B5EF4-FFF2-40B4-BE49-F238E27FC236}">
              <a16:creationId xmlns:a16="http://schemas.microsoft.com/office/drawing/2014/main" id="{391D9CE6-540A-93CA-25C3-0050855AC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s km" refreshedDate="46072.955019907407" createdVersion="8" refreshedVersion="8" minRefreshableVersion="3" recordCount="1000" xr:uid="{BB1078C0-22B7-40A0-93C8-E9953E11ED86}">
  <cacheSource type="worksheet">
    <worksheetSource name="Table2"/>
  </cacheSource>
  <cacheFields count="6">
    <cacheField name="customer_ID" numFmtId="0">
      <sharedItems containsSemiMixedTypes="0" containsString="0" containsNumber="1" containsInteger="1" minValue="1" maxValue="1000"/>
    </cacheField>
    <cacheField name="Age" numFmtId="0">
      <sharedItems containsSemiMixedTypes="0" containsString="0" containsNumber="1" containsInteger="1" minValue="19" maxValue="75"/>
    </cacheField>
    <cacheField name="Loan_Amount" numFmtId="164">
      <sharedItems containsSemiMixedTypes="0" containsString="0" containsNumber="1" containsInteger="1" minValue="250" maxValue="18424" count="921">
        <n v="18424"/>
        <n v="15945"/>
        <n v="15857"/>
        <n v="15672"/>
        <n v="15653"/>
        <n v="14896"/>
        <n v="14782"/>
        <n v="14555"/>
        <n v="14421"/>
        <n v="14318"/>
        <n v="14179"/>
        <n v="14027"/>
        <n v="13756"/>
        <n v="12976"/>
        <n v="12749"/>
        <n v="12680"/>
        <n v="12612"/>
        <n v="12579"/>
        <n v="12389"/>
        <n v="12204"/>
        <n v="12169"/>
        <n v="11998"/>
        <n v="11938"/>
        <n v="11816"/>
        <n v="11760"/>
        <n v="11590"/>
        <n v="11560"/>
        <n v="11328"/>
        <n v="11054"/>
        <n v="10974"/>
        <n v="10961"/>
        <n v="10875"/>
        <n v="10722"/>
        <n v="10623"/>
        <n v="10477"/>
        <n v="10366"/>
        <n v="10297"/>
        <n v="10222"/>
        <n v="10144"/>
        <n v="10127"/>
        <n v="9960"/>
        <n v="9857"/>
        <n v="9629"/>
        <n v="9572"/>
        <n v="9566"/>
        <n v="9436"/>
        <n v="9398"/>
        <n v="9283"/>
        <n v="9277"/>
        <n v="9271"/>
        <n v="9157"/>
        <n v="9055"/>
        <n v="9034"/>
        <n v="8978"/>
        <n v="8947"/>
        <n v="8858"/>
        <n v="8648"/>
        <n v="8613"/>
        <n v="8588"/>
        <n v="8487"/>
        <n v="8471"/>
        <n v="8386"/>
        <n v="8358"/>
        <n v="8335"/>
        <n v="8318"/>
        <n v="8229"/>
        <n v="8133"/>
        <n v="8086"/>
        <n v="8072"/>
        <n v="8065"/>
        <n v="7980"/>
        <n v="7966"/>
        <n v="7882"/>
        <n v="7865"/>
        <n v="7855"/>
        <n v="7824"/>
        <n v="7814"/>
        <n v="7763"/>
        <n v="7758"/>
        <n v="7721"/>
        <n v="7685"/>
        <n v="7678"/>
        <n v="7629"/>
        <n v="7596"/>
        <n v="7582"/>
        <n v="7511"/>
        <n v="7485"/>
        <n v="7476"/>
        <n v="7472"/>
        <n v="7432"/>
        <n v="7418"/>
        <n v="7409"/>
        <n v="7408"/>
        <n v="7393"/>
        <n v="7374"/>
        <n v="7308"/>
        <n v="7297"/>
        <n v="7253"/>
        <n v="7238"/>
        <n v="7228"/>
        <n v="7174"/>
        <n v="7166"/>
        <n v="7127"/>
        <n v="7119"/>
        <n v="7057"/>
        <n v="6999"/>
        <n v="6967"/>
        <n v="6948"/>
        <n v="6887"/>
        <n v="6872"/>
        <n v="6850"/>
        <n v="6842"/>
        <n v="6836"/>
        <n v="6761"/>
        <n v="6758"/>
        <n v="6742"/>
        <n v="6681"/>
        <n v="6615"/>
        <n v="6614"/>
        <n v="6579"/>
        <n v="6568"/>
        <n v="6560"/>
        <n v="6527"/>
        <n v="6468"/>
        <n v="6458"/>
        <n v="6419"/>
        <n v="6416"/>
        <n v="6403"/>
        <n v="6361"/>
        <n v="6350"/>
        <n v="6331"/>
        <n v="6314"/>
        <n v="6313"/>
        <n v="6304"/>
        <n v="6289"/>
        <n v="6288"/>
        <n v="6260"/>
        <n v="6229"/>
        <n v="6224"/>
        <n v="6204"/>
        <n v="6199"/>
        <n v="6187"/>
        <n v="6148"/>
        <n v="6143"/>
        <n v="6110"/>
        <n v="6078"/>
        <n v="6070"/>
        <n v="5998"/>
        <n v="5965"/>
        <n v="5954"/>
        <n v="5951"/>
        <n v="5943"/>
        <n v="5866"/>
        <n v="5848"/>
        <n v="5842"/>
        <n v="5804"/>
        <n v="5801"/>
        <n v="5800"/>
        <n v="5771"/>
        <n v="5743"/>
        <n v="5742"/>
        <n v="5711"/>
        <n v="5595"/>
        <n v="5511"/>
        <n v="5507"/>
        <n v="5493"/>
        <n v="5433"/>
        <n v="5381"/>
        <n v="5371"/>
        <n v="5324"/>
        <n v="5302"/>
        <n v="5293"/>
        <n v="5248"/>
        <n v="5234"/>
        <n v="5190"/>
        <n v="5179"/>
        <n v="5152"/>
        <n v="5150"/>
        <n v="5129"/>
        <n v="5117"/>
        <n v="5103"/>
        <n v="5096"/>
        <n v="5084"/>
        <n v="5045"/>
        <n v="5003"/>
        <n v="4933"/>
        <n v="4870"/>
        <n v="4844"/>
        <n v="4843"/>
        <n v="4817"/>
        <n v="4811"/>
        <n v="4796"/>
        <n v="4795"/>
        <n v="4788"/>
        <n v="4771"/>
        <n v="4746"/>
        <n v="4736"/>
        <n v="4716"/>
        <n v="4712"/>
        <n v="4686"/>
        <n v="4679"/>
        <n v="4675"/>
        <n v="4657"/>
        <n v="4623"/>
        <n v="4611"/>
        <n v="4605"/>
        <n v="4594"/>
        <n v="4591"/>
        <n v="4583"/>
        <n v="4576"/>
        <n v="4530"/>
        <n v="4526"/>
        <n v="4473"/>
        <n v="4463"/>
        <n v="4455"/>
        <n v="4454"/>
        <n v="4439"/>
        <n v="4380"/>
        <n v="4370"/>
        <n v="4351"/>
        <n v="4308"/>
        <n v="4297"/>
        <n v="4281"/>
        <n v="4280"/>
        <n v="4272"/>
        <n v="4249"/>
        <n v="4241"/>
        <n v="4221"/>
        <n v="4210"/>
        <n v="4169"/>
        <n v="4165"/>
        <n v="4153"/>
        <n v="4151"/>
        <n v="4139"/>
        <n v="4113"/>
        <n v="4110"/>
        <n v="4057"/>
        <n v="4042"/>
        <n v="4020"/>
        <n v="4006"/>
        <n v="3990"/>
        <n v="3979"/>
        <n v="3976"/>
        <n v="3973"/>
        <n v="3972"/>
        <n v="3966"/>
        <n v="3965"/>
        <n v="3959"/>
        <n v="3949"/>
        <n v="3939"/>
        <n v="3931"/>
        <n v="3915"/>
        <n v="3914"/>
        <n v="3913"/>
        <n v="3905"/>
        <n v="3878"/>
        <n v="3872"/>
        <n v="3868"/>
        <n v="3863"/>
        <n v="3857"/>
        <n v="3850"/>
        <n v="3844"/>
        <n v="3835"/>
        <n v="3832"/>
        <n v="3812"/>
        <n v="3804"/>
        <n v="3780"/>
        <n v="3777"/>
        <n v="3763"/>
        <n v="3758"/>
        <n v="3757"/>
        <n v="3749"/>
        <n v="3711"/>
        <n v="3676"/>
        <n v="3660"/>
        <n v="3656"/>
        <n v="3652"/>
        <n v="3651"/>
        <n v="3650"/>
        <n v="3643"/>
        <n v="3632"/>
        <n v="3622"/>
        <n v="3621"/>
        <n v="3620"/>
        <n v="3617"/>
        <n v="3612"/>
        <n v="3609"/>
        <n v="3599"/>
        <n v="3595"/>
        <n v="3594"/>
        <n v="3590"/>
        <n v="3578"/>
        <n v="3577"/>
        <n v="3573"/>
        <n v="3568"/>
        <n v="3566"/>
        <n v="3565"/>
        <n v="3556"/>
        <n v="3552"/>
        <n v="3535"/>
        <n v="3527"/>
        <n v="3518"/>
        <n v="3512"/>
        <n v="3509"/>
        <n v="3499"/>
        <n v="3496"/>
        <n v="3488"/>
        <n v="3485"/>
        <n v="3448"/>
        <n v="3447"/>
        <n v="3446"/>
        <n v="3441"/>
        <n v="3430"/>
        <n v="3422"/>
        <n v="3416"/>
        <n v="3414"/>
        <n v="3399"/>
        <n v="3398"/>
        <n v="3394"/>
        <n v="3386"/>
        <n v="3384"/>
        <n v="3380"/>
        <n v="3378"/>
        <n v="3368"/>
        <n v="3357"/>
        <n v="3349"/>
        <n v="3345"/>
        <n v="3343"/>
        <n v="3342"/>
        <n v="3331"/>
        <n v="3275"/>
        <n v="3249"/>
        <n v="3244"/>
        <n v="3235"/>
        <n v="3234"/>
        <n v="3229"/>
        <n v="3213"/>
        <n v="3195"/>
        <n v="3190"/>
        <n v="3186"/>
        <n v="3181"/>
        <n v="3161"/>
        <n v="3160"/>
        <n v="3149"/>
        <n v="3148"/>
        <n v="3124"/>
        <n v="3123"/>
        <n v="3114"/>
        <n v="3108"/>
        <n v="3105"/>
        <n v="3104"/>
        <n v="3092"/>
        <n v="3079"/>
        <n v="3077"/>
        <n v="3074"/>
        <n v="3069"/>
        <n v="3062"/>
        <n v="3060"/>
        <n v="3059"/>
        <n v="3051"/>
        <n v="3049"/>
        <n v="3031"/>
        <n v="3029"/>
        <n v="3021"/>
        <n v="3017"/>
        <n v="3016"/>
        <n v="3001"/>
        <n v="2996"/>
        <n v="2993"/>
        <n v="2991"/>
        <n v="2978"/>
        <n v="2969"/>
        <n v="2964"/>
        <n v="2957"/>
        <n v="2930"/>
        <n v="2924"/>
        <n v="2923"/>
        <n v="2910"/>
        <n v="2901"/>
        <n v="2899"/>
        <n v="2896"/>
        <n v="2892"/>
        <n v="2872"/>
        <n v="2864"/>
        <n v="2862"/>
        <n v="2859"/>
        <n v="2848"/>
        <n v="2835"/>
        <n v="2831"/>
        <n v="2828"/>
        <n v="2825"/>
        <n v="2820"/>
        <n v="2812"/>
        <n v="2799"/>
        <n v="2788"/>
        <n v="2782"/>
        <n v="2779"/>
        <n v="2775"/>
        <n v="2767"/>
        <n v="2764"/>
        <n v="2762"/>
        <n v="2760"/>
        <n v="2759"/>
        <n v="2753"/>
        <n v="2751"/>
        <n v="2748"/>
        <n v="2746"/>
        <n v="2745"/>
        <n v="2743"/>
        <n v="2728"/>
        <n v="2718"/>
        <n v="2712"/>
        <n v="2708"/>
        <n v="2697"/>
        <n v="2687"/>
        <n v="2684"/>
        <n v="2679"/>
        <n v="2675"/>
        <n v="2671"/>
        <n v="2670"/>
        <n v="2662"/>
        <n v="2659"/>
        <n v="2647"/>
        <n v="2631"/>
        <n v="2629"/>
        <n v="2625"/>
        <n v="2622"/>
        <n v="2613"/>
        <n v="2611"/>
        <n v="2606"/>
        <n v="2603"/>
        <n v="2600"/>
        <n v="2580"/>
        <n v="2579"/>
        <n v="2578"/>
        <n v="2577"/>
        <n v="2576"/>
        <n v="2570"/>
        <n v="2569"/>
        <n v="2538"/>
        <n v="2528"/>
        <n v="2522"/>
        <n v="2520"/>
        <n v="2515"/>
        <n v="2511"/>
        <n v="2507"/>
        <n v="2503"/>
        <n v="2483"/>
        <n v="2476"/>
        <n v="2473"/>
        <n v="2463"/>
        <n v="2462"/>
        <n v="2445"/>
        <n v="2442"/>
        <n v="2439"/>
        <n v="2427"/>
        <n v="2424"/>
        <n v="2415"/>
        <n v="2406"/>
        <n v="2404"/>
        <n v="2397"/>
        <n v="2394"/>
        <n v="2390"/>
        <n v="2389"/>
        <n v="2384"/>
        <n v="2375"/>
        <n v="2366"/>
        <n v="2360"/>
        <n v="2359"/>
        <n v="2353"/>
        <n v="2348"/>
        <n v="2346"/>
        <n v="2337"/>
        <n v="2333"/>
        <n v="2331"/>
        <n v="2329"/>
        <n v="2327"/>
        <n v="2326"/>
        <n v="2325"/>
        <n v="2323"/>
        <n v="2320"/>
        <n v="2319"/>
        <n v="2315"/>
        <n v="2303"/>
        <n v="2302"/>
        <n v="2301"/>
        <n v="2299"/>
        <n v="2292"/>
        <n v="2288"/>
        <n v="2284"/>
        <n v="2279"/>
        <n v="2278"/>
        <n v="2273"/>
        <n v="2255"/>
        <n v="2251"/>
        <n v="2249"/>
        <n v="2247"/>
        <n v="2246"/>
        <n v="2241"/>
        <n v="2238"/>
        <n v="2235"/>
        <n v="2225"/>
        <n v="2223"/>
        <n v="2221"/>
        <n v="2214"/>
        <n v="2212"/>
        <n v="2210"/>
        <n v="2197"/>
        <n v="2186"/>
        <n v="2181"/>
        <n v="2171"/>
        <n v="2169"/>
        <n v="2150"/>
        <n v="2149"/>
        <n v="2146"/>
        <n v="2145"/>
        <n v="2142"/>
        <n v="2141"/>
        <n v="2136"/>
        <n v="2134"/>
        <n v="2133"/>
        <n v="2132"/>
        <n v="2124"/>
        <n v="2122"/>
        <n v="2121"/>
        <n v="2118"/>
        <n v="2116"/>
        <n v="2108"/>
        <n v="2101"/>
        <n v="2100"/>
        <n v="2096"/>
        <n v="2080"/>
        <n v="2073"/>
        <n v="2069"/>
        <n v="2064"/>
        <n v="2063"/>
        <n v="2058"/>
        <n v="2051"/>
        <n v="2039"/>
        <n v="2032"/>
        <n v="2030"/>
        <n v="2028"/>
        <n v="2022"/>
        <n v="2012"/>
        <n v="2002"/>
        <n v="1995"/>
        <n v="1987"/>
        <n v="1984"/>
        <n v="1980"/>
        <n v="1979"/>
        <n v="1977"/>
        <n v="1967"/>
        <n v="1965"/>
        <n v="1963"/>
        <n v="1961"/>
        <n v="1957"/>
        <n v="1953"/>
        <n v="1950"/>
        <n v="1943"/>
        <n v="1941"/>
        <n v="1940"/>
        <n v="1938"/>
        <n v="1936"/>
        <n v="1935"/>
        <n v="1934"/>
        <n v="1928"/>
        <n v="1927"/>
        <n v="1925"/>
        <n v="1924"/>
        <n v="1922"/>
        <n v="1919"/>
        <n v="1913"/>
        <n v="1908"/>
        <n v="1905"/>
        <n v="1901"/>
        <n v="1898"/>
        <n v="1893"/>
        <n v="1887"/>
        <n v="1884"/>
        <n v="1882"/>
        <n v="1881"/>
        <n v="1880"/>
        <n v="1872"/>
        <n v="1867"/>
        <n v="1864"/>
        <n v="1860"/>
        <n v="1858"/>
        <n v="1851"/>
        <n v="1845"/>
        <n v="1842"/>
        <n v="1837"/>
        <n v="1835"/>
        <n v="1829"/>
        <n v="1823"/>
        <n v="1820"/>
        <n v="1819"/>
        <n v="1817"/>
        <n v="1808"/>
        <n v="1804"/>
        <n v="1800"/>
        <n v="1797"/>
        <n v="1795"/>
        <n v="1778"/>
        <n v="1768"/>
        <n v="1766"/>
        <n v="1755"/>
        <n v="1750"/>
        <n v="1747"/>
        <n v="1743"/>
        <n v="1740"/>
        <n v="1736"/>
        <n v="1721"/>
        <n v="1715"/>
        <n v="1680"/>
        <n v="1670"/>
        <n v="1659"/>
        <n v="1657"/>
        <n v="1655"/>
        <n v="1647"/>
        <n v="1620"/>
        <n v="1603"/>
        <n v="1602"/>
        <n v="1597"/>
        <n v="1595"/>
        <n v="1592"/>
        <n v="1591"/>
        <n v="1585"/>
        <n v="1582"/>
        <n v="1577"/>
        <n v="1574"/>
        <n v="1572"/>
        <n v="1569"/>
        <n v="1568"/>
        <n v="1567"/>
        <n v="1559"/>
        <n v="1555"/>
        <n v="1554"/>
        <n v="1553"/>
        <n v="1552"/>
        <n v="1549"/>
        <n v="1546"/>
        <n v="1544"/>
        <n v="1543"/>
        <n v="1542"/>
        <n v="1538"/>
        <n v="1537"/>
        <n v="1534"/>
        <n v="1533"/>
        <n v="1532"/>
        <n v="1530"/>
        <n v="1526"/>
        <n v="1525"/>
        <n v="1521"/>
        <n v="1520"/>
        <n v="1516"/>
        <n v="1514"/>
        <n v="1512"/>
        <n v="1505"/>
        <n v="1503"/>
        <n v="1501"/>
        <n v="1498"/>
        <n v="1495"/>
        <n v="1494"/>
        <n v="1493"/>
        <n v="1484"/>
        <n v="1480"/>
        <n v="1478"/>
        <n v="1474"/>
        <n v="1473"/>
        <n v="1471"/>
        <n v="1469"/>
        <n v="1459"/>
        <n v="1455"/>
        <n v="1453"/>
        <n v="1449"/>
        <n v="1445"/>
        <n v="1444"/>
        <n v="1442"/>
        <n v="1437"/>
        <n v="1433"/>
        <n v="1424"/>
        <n v="1422"/>
        <n v="1418"/>
        <n v="1414"/>
        <n v="1413"/>
        <n v="1412"/>
        <n v="1410"/>
        <n v="1409"/>
        <n v="1403"/>
        <n v="1402"/>
        <n v="1393"/>
        <n v="1391"/>
        <n v="1388"/>
        <n v="1386"/>
        <n v="1382"/>
        <n v="1381"/>
        <n v="1377"/>
        <n v="1376"/>
        <n v="1374"/>
        <n v="1372"/>
        <n v="1371"/>
        <n v="1366"/>
        <n v="1364"/>
        <n v="1361"/>
        <n v="1360"/>
        <n v="1358"/>
        <n v="1355"/>
        <n v="1352"/>
        <n v="1347"/>
        <n v="1346"/>
        <n v="1345"/>
        <n v="1344"/>
        <n v="1343"/>
        <n v="1338"/>
        <n v="1337"/>
        <n v="1333"/>
        <n v="1331"/>
        <n v="1330"/>
        <n v="1323"/>
        <n v="1322"/>
        <n v="1318"/>
        <n v="1316"/>
        <n v="1313"/>
        <n v="1311"/>
        <n v="1309"/>
        <n v="1308"/>
        <n v="1301"/>
        <n v="1300"/>
        <n v="1299"/>
        <n v="1297"/>
        <n v="1295"/>
        <n v="1291"/>
        <n v="1289"/>
        <n v="1288"/>
        <n v="1287"/>
        <n v="1285"/>
        <n v="1283"/>
        <n v="1282"/>
        <n v="1278"/>
        <n v="1275"/>
        <n v="1274"/>
        <n v="1271"/>
        <n v="1264"/>
        <n v="1262"/>
        <n v="1258"/>
        <n v="1255"/>
        <n v="1249"/>
        <n v="1246"/>
        <n v="1245"/>
        <n v="1244"/>
        <n v="1240"/>
        <n v="1239"/>
        <n v="1238"/>
        <n v="1237"/>
        <n v="1236"/>
        <n v="1231"/>
        <n v="1228"/>
        <n v="1225"/>
        <n v="1224"/>
        <n v="1223"/>
        <n v="1221"/>
        <n v="1217"/>
        <n v="1216"/>
        <n v="1213"/>
        <n v="1209"/>
        <n v="1207"/>
        <n v="1206"/>
        <n v="1204"/>
        <n v="1203"/>
        <n v="1201"/>
        <n v="1200"/>
        <n v="1199"/>
        <n v="1198"/>
        <n v="1193"/>
        <n v="1190"/>
        <n v="1188"/>
        <n v="1185"/>
        <n v="1175"/>
        <n v="1169"/>
        <n v="1168"/>
        <n v="1164"/>
        <n v="1163"/>
        <n v="1158"/>
        <n v="1155"/>
        <n v="1154"/>
        <n v="1149"/>
        <n v="1138"/>
        <n v="1136"/>
        <n v="1131"/>
        <n v="1126"/>
        <n v="1123"/>
        <n v="1113"/>
        <n v="1108"/>
        <n v="1107"/>
        <n v="1103"/>
        <n v="1101"/>
        <n v="1098"/>
        <n v="1092"/>
        <n v="1082"/>
        <n v="1076"/>
        <n v="1068"/>
        <n v="1056"/>
        <n v="1055"/>
        <n v="1053"/>
        <n v="1050"/>
        <n v="1049"/>
        <n v="1048"/>
        <n v="1047"/>
        <n v="1042"/>
        <n v="1038"/>
        <n v="1037"/>
        <n v="1028"/>
        <n v="1024"/>
        <n v="1007"/>
        <n v="999"/>
        <n v="996"/>
        <n v="983"/>
        <n v="976"/>
        <n v="975"/>
        <n v="960"/>
        <n v="959"/>
        <n v="958"/>
        <n v="951"/>
        <n v="950"/>
        <n v="947"/>
        <n v="939"/>
        <n v="937"/>
        <n v="936"/>
        <n v="932"/>
        <n v="931"/>
        <n v="930"/>
        <n v="929"/>
        <n v="926"/>
        <n v="918"/>
        <n v="915"/>
        <n v="909"/>
        <n v="907"/>
        <n v="902"/>
        <n v="900"/>
        <n v="894"/>
        <n v="888"/>
        <n v="886"/>
        <n v="884"/>
        <n v="882"/>
        <n v="874"/>
        <n v="866"/>
        <n v="860"/>
        <n v="846"/>
        <n v="841"/>
        <n v="836"/>
        <n v="806"/>
        <n v="804"/>
        <n v="802"/>
        <n v="797"/>
        <n v="795"/>
        <n v="790"/>
        <n v="783"/>
        <n v="781"/>
        <n v="776"/>
        <n v="766"/>
        <n v="763"/>
        <n v="760"/>
        <n v="759"/>
        <n v="754"/>
        <n v="753"/>
        <n v="750"/>
        <n v="745"/>
        <n v="741"/>
        <n v="731"/>
        <n v="730"/>
        <n v="727"/>
        <n v="719"/>
        <n v="717"/>
        <n v="709"/>
        <n v="708"/>
        <n v="707"/>
        <n v="701"/>
        <n v="700"/>
        <n v="697"/>
        <n v="691"/>
        <n v="685"/>
        <n v="684"/>
        <n v="683"/>
        <n v="682"/>
        <n v="674"/>
        <n v="672"/>
        <n v="666"/>
        <n v="662"/>
        <n v="660"/>
        <n v="654"/>
        <n v="652"/>
        <n v="640"/>
        <n v="639"/>
        <n v="629"/>
        <n v="626"/>
        <n v="625"/>
        <n v="618"/>
        <n v="609"/>
        <n v="601"/>
        <n v="590"/>
        <n v="585"/>
        <n v="571"/>
        <n v="522"/>
        <n v="518"/>
        <n v="484"/>
        <n v="458"/>
        <n v="454"/>
        <n v="448"/>
        <n v="433"/>
        <n v="428"/>
        <n v="426"/>
        <n v="409"/>
        <n v="392"/>
        <n v="385"/>
        <n v="368"/>
        <n v="362"/>
        <n v="343"/>
        <n v="339"/>
        <n v="338"/>
        <n v="276"/>
        <n v="250"/>
      </sharedItems>
    </cacheField>
    <cacheField name="Duration" numFmtId="0">
      <sharedItems containsSemiMixedTypes="0" containsString="0" containsNumber="1" containsInteger="1" minValue="4" maxValue="72" count="33">
        <n v="48"/>
        <n v="54"/>
        <n v="36"/>
        <n v="60"/>
        <n v="6"/>
        <n v="39"/>
        <n v="18"/>
        <n v="21"/>
        <n v="24"/>
        <n v="30"/>
        <n v="45"/>
        <n v="47"/>
        <n v="42"/>
        <n v="14"/>
        <n v="27"/>
        <n v="26"/>
        <n v="12"/>
        <n v="28"/>
        <n v="10"/>
        <n v="33"/>
        <n v="11"/>
        <n v="20"/>
        <n v="15"/>
        <n v="40"/>
        <n v="72"/>
        <n v="9"/>
        <n v="5"/>
        <n v="8"/>
        <n v="4"/>
        <n v="22"/>
        <n v="16"/>
        <n v="7"/>
        <n v="13"/>
      </sharedItems>
    </cacheField>
    <cacheField name="purpose" numFmtId="0">
      <sharedItems count="10">
        <s v="other"/>
        <s v="business"/>
        <s v="radio/tv"/>
        <s v="new car"/>
        <s v="furniture/equipment"/>
        <s v="used car"/>
        <s v="education"/>
        <s v="repairs"/>
        <s v="domestic appliance"/>
        <s v="retraining"/>
      </sharedItems>
    </cacheField>
    <cacheField name="Risk_category" numFmtId="0">
      <sharedItems count="3">
        <s v="High Risk"/>
        <s v="Medium Risk"/>
        <s v="Low Risk"/>
      </sharedItems>
    </cacheField>
  </cacheFields>
  <extLst>
    <ext xmlns:x14="http://schemas.microsoft.com/office/spreadsheetml/2009/9/main" uri="{725AE2AE-9491-48be-B2B4-4EB974FC3084}">
      <x14:pivotCacheDefinition pivotCacheId="2040869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916"/>
    <n v="32"/>
    <x v="0"/>
    <x v="0"/>
    <x v="0"/>
    <x v="0"/>
  </r>
  <r>
    <n v="96"/>
    <n v="58"/>
    <x v="1"/>
    <x v="1"/>
    <x v="1"/>
    <x v="0"/>
  </r>
  <r>
    <n v="819"/>
    <n v="43"/>
    <x v="2"/>
    <x v="2"/>
    <x v="0"/>
    <x v="0"/>
  </r>
  <r>
    <n v="888"/>
    <n v="23"/>
    <x v="3"/>
    <x v="0"/>
    <x v="1"/>
    <x v="0"/>
  </r>
  <r>
    <n v="638"/>
    <n v="21"/>
    <x v="4"/>
    <x v="3"/>
    <x v="2"/>
    <x v="0"/>
  </r>
  <r>
    <n v="918"/>
    <n v="68"/>
    <x v="5"/>
    <x v="4"/>
    <x v="3"/>
    <x v="0"/>
  </r>
  <r>
    <n v="375"/>
    <n v="60"/>
    <x v="6"/>
    <x v="3"/>
    <x v="0"/>
    <x v="0"/>
  </r>
  <r>
    <n v="237"/>
    <n v="23"/>
    <x v="7"/>
    <x v="4"/>
    <x v="3"/>
    <x v="0"/>
  </r>
  <r>
    <n v="64"/>
    <n v="25"/>
    <x v="8"/>
    <x v="0"/>
    <x v="1"/>
    <x v="0"/>
  </r>
  <r>
    <n v="379"/>
    <n v="57"/>
    <x v="9"/>
    <x v="2"/>
    <x v="3"/>
    <x v="0"/>
  </r>
  <r>
    <n v="745"/>
    <n v="30"/>
    <x v="10"/>
    <x v="5"/>
    <x v="4"/>
    <x v="0"/>
  </r>
  <r>
    <n v="715"/>
    <n v="27"/>
    <x v="11"/>
    <x v="3"/>
    <x v="3"/>
    <x v="0"/>
  </r>
  <r>
    <n v="374"/>
    <n v="63"/>
    <x v="12"/>
    <x v="3"/>
    <x v="3"/>
    <x v="0"/>
  </r>
  <r>
    <n v="382"/>
    <n v="38"/>
    <x v="13"/>
    <x v="6"/>
    <x v="5"/>
    <x v="0"/>
  </r>
  <r>
    <n v="922"/>
    <n v="37"/>
    <x v="14"/>
    <x v="0"/>
    <x v="2"/>
    <x v="0"/>
  </r>
  <r>
    <n v="764"/>
    <n v="30"/>
    <x v="15"/>
    <x v="7"/>
    <x v="3"/>
    <x v="0"/>
  </r>
  <r>
    <n v="88"/>
    <n v="47"/>
    <x v="16"/>
    <x v="2"/>
    <x v="6"/>
    <x v="0"/>
  </r>
  <r>
    <n v="19"/>
    <n v="44"/>
    <x v="17"/>
    <x v="8"/>
    <x v="5"/>
    <x v="0"/>
  </r>
  <r>
    <n v="564"/>
    <n v="37"/>
    <x v="18"/>
    <x v="2"/>
    <x v="3"/>
    <x v="0"/>
  </r>
  <r>
    <n v="616"/>
    <n v="48"/>
    <x v="19"/>
    <x v="0"/>
    <x v="1"/>
    <x v="0"/>
  </r>
  <r>
    <n v="273"/>
    <n v="36"/>
    <x v="20"/>
    <x v="0"/>
    <x v="3"/>
    <x v="0"/>
  </r>
  <r>
    <n v="275"/>
    <n v="34"/>
    <x v="21"/>
    <x v="9"/>
    <x v="7"/>
    <x v="0"/>
  </r>
  <r>
    <n v="106"/>
    <n v="39"/>
    <x v="22"/>
    <x v="8"/>
    <x v="0"/>
    <x v="0"/>
  </r>
  <r>
    <n v="833"/>
    <n v="29"/>
    <x v="23"/>
    <x v="10"/>
    <x v="1"/>
    <x v="0"/>
  </r>
  <r>
    <n v="396"/>
    <n v="32"/>
    <x v="24"/>
    <x v="5"/>
    <x v="6"/>
    <x v="0"/>
  </r>
  <r>
    <n v="334"/>
    <n v="24"/>
    <x v="25"/>
    <x v="0"/>
    <x v="5"/>
    <x v="0"/>
  </r>
  <r>
    <n v="737"/>
    <n v="23"/>
    <x v="26"/>
    <x v="8"/>
    <x v="5"/>
    <x v="0"/>
  </r>
  <r>
    <n v="432"/>
    <n v="29"/>
    <x v="27"/>
    <x v="8"/>
    <x v="0"/>
    <x v="0"/>
  </r>
  <r>
    <n v="451"/>
    <n v="30"/>
    <x v="28"/>
    <x v="2"/>
    <x v="5"/>
    <x v="0"/>
  </r>
  <r>
    <n v="954"/>
    <n v="26"/>
    <x v="29"/>
    <x v="2"/>
    <x v="4"/>
    <x v="0"/>
  </r>
  <r>
    <n v="227"/>
    <n v="27"/>
    <x v="30"/>
    <x v="0"/>
    <x v="2"/>
    <x v="0"/>
  </r>
  <r>
    <n v="855"/>
    <n v="45"/>
    <x v="31"/>
    <x v="2"/>
    <x v="3"/>
    <x v="0"/>
  </r>
  <r>
    <n v="286"/>
    <n v="35"/>
    <x v="32"/>
    <x v="11"/>
    <x v="3"/>
    <x v="0"/>
  </r>
  <r>
    <n v="206"/>
    <n v="38"/>
    <x v="33"/>
    <x v="9"/>
    <x v="5"/>
    <x v="0"/>
  </r>
  <r>
    <n v="903"/>
    <n v="42"/>
    <x v="34"/>
    <x v="2"/>
    <x v="5"/>
    <x v="0"/>
  </r>
  <r>
    <n v="673"/>
    <n v="42"/>
    <x v="35"/>
    <x v="3"/>
    <x v="3"/>
    <x v="0"/>
  </r>
  <r>
    <n v="928"/>
    <n v="39"/>
    <x v="36"/>
    <x v="0"/>
    <x v="5"/>
    <x v="0"/>
  </r>
  <r>
    <n v="658"/>
    <n v="37"/>
    <x v="37"/>
    <x v="0"/>
    <x v="2"/>
    <x v="0"/>
  </r>
  <r>
    <n v="135"/>
    <n v="21"/>
    <x v="38"/>
    <x v="3"/>
    <x v="2"/>
    <x v="0"/>
  </r>
  <r>
    <n v="305"/>
    <n v="44"/>
    <x v="39"/>
    <x v="0"/>
    <x v="3"/>
    <x v="0"/>
  </r>
  <r>
    <n v="296"/>
    <n v="26"/>
    <x v="40"/>
    <x v="0"/>
    <x v="4"/>
    <x v="0"/>
  </r>
  <r>
    <n v="685"/>
    <n v="31"/>
    <x v="41"/>
    <x v="2"/>
    <x v="1"/>
    <x v="0"/>
  </r>
  <r>
    <n v="813"/>
    <n v="24"/>
    <x v="42"/>
    <x v="2"/>
    <x v="5"/>
    <x v="0"/>
  </r>
  <r>
    <n v="181"/>
    <n v="28"/>
    <x v="43"/>
    <x v="2"/>
    <x v="1"/>
    <x v="0"/>
  </r>
  <r>
    <n v="58"/>
    <n v="31"/>
    <x v="44"/>
    <x v="2"/>
    <x v="2"/>
    <x v="0"/>
  </r>
  <r>
    <n v="79"/>
    <n v="39"/>
    <x v="45"/>
    <x v="1"/>
    <x v="5"/>
    <x v="0"/>
  </r>
  <r>
    <n v="292"/>
    <n v="28"/>
    <x v="46"/>
    <x v="2"/>
    <x v="5"/>
    <x v="0"/>
  </r>
  <r>
    <n v="809"/>
    <n v="55"/>
    <x v="47"/>
    <x v="12"/>
    <x v="5"/>
    <x v="0"/>
  </r>
  <r>
    <n v="882"/>
    <n v="48"/>
    <x v="48"/>
    <x v="8"/>
    <x v="5"/>
    <x v="0"/>
  </r>
  <r>
    <n v="806"/>
    <n v="24"/>
    <x v="49"/>
    <x v="2"/>
    <x v="3"/>
    <x v="0"/>
  </r>
  <r>
    <n v="617"/>
    <n v="27"/>
    <x v="50"/>
    <x v="3"/>
    <x v="2"/>
    <x v="0"/>
  </r>
  <r>
    <n v="6"/>
    <n v="35"/>
    <x v="51"/>
    <x v="2"/>
    <x v="6"/>
    <x v="0"/>
  </r>
  <r>
    <n v="497"/>
    <n v="29"/>
    <x v="52"/>
    <x v="2"/>
    <x v="4"/>
    <x v="0"/>
  </r>
  <r>
    <n v="269"/>
    <n v="45"/>
    <x v="53"/>
    <x v="13"/>
    <x v="3"/>
    <x v="0"/>
  </r>
  <r>
    <n v="896"/>
    <n v="31"/>
    <x v="54"/>
    <x v="2"/>
    <x v="5"/>
    <x v="0"/>
  </r>
  <r>
    <n v="550"/>
    <n v="35"/>
    <x v="55"/>
    <x v="0"/>
    <x v="5"/>
    <x v="0"/>
  </r>
  <r>
    <n v="403"/>
    <n v="27"/>
    <x v="56"/>
    <x v="8"/>
    <x v="1"/>
    <x v="0"/>
  </r>
  <r>
    <n v="137"/>
    <n v="27"/>
    <x v="57"/>
    <x v="14"/>
    <x v="5"/>
    <x v="0"/>
  </r>
  <r>
    <n v="510"/>
    <n v="45"/>
    <x v="58"/>
    <x v="5"/>
    <x v="5"/>
    <x v="0"/>
  </r>
  <r>
    <n v="131"/>
    <n v="24"/>
    <x v="59"/>
    <x v="0"/>
    <x v="3"/>
    <x v="0"/>
  </r>
  <r>
    <n v="418"/>
    <n v="23"/>
    <x v="60"/>
    <x v="6"/>
    <x v="6"/>
    <x v="0"/>
  </r>
  <r>
    <n v="981"/>
    <n v="49"/>
    <x v="61"/>
    <x v="9"/>
    <x v="4"/>
    <x v="0"/>
  </r>
  <r>
    <n v="946"/>
    <n v="30"/>
    <x v="62"/>
    <x v="0"/>
    <x v="3"/>
    <x v="0"/>
  </r>
  <r>
    <n v="829"/>
    <n v="47"/>
    <x v="63"/>
    <x v="2"/>
    <x v="5"/>
    <x v="0"/>
  </r>
  <r>
    <n v="492"/>
    <n v="42"/>
    <x v="64"/>
    <x v="14"/>
    <x v="1"/>
    <x v="0"/>
  </r>
  <r>
    <n v="984"/>
    <n v="26"/>
    <x v="65"/>
    <x v="2"/>
    <x v="5"/>
    <x v="0"/>
  </r>
  <r>
    <n v="71"/>
    <n v="30"/>
    <x v="66"/>
    <x v="2"/>
    <x v="5"/>
    <x v="0"/>
  </r>
  <r>
    <n v="654"/>
    <n v="42"/>
    <x v="67"/>
    <x v="2"/>
    <x v="3"/>
    <x v="0"/>
  </r>
  <r>
    <n v="18"/>
    <n v="25"/>
    <x v="68"/>
    <x v="9"/>
    <x v="1"/>
    <x v="0"/>
  </r>
  <r>
    <n v="772"/>
    <n v="25"/>
    <x v="69"/>
    <x v="2"/>
    <x v="6"/>
    <x v="0"/>
  </r>
  <r>
    <n v="646"/>
    <n v="27"/>
    <x v="70"/>
    <x v="2"/>
    <x v="1"/>
    <x v="0"/>
  </r>
  <r>
    <n v="526"/>
    <n v="30"/>
    <x v="71"/>
    <x v="15"/>
    <x v="5"/>
    <x v="0"/>
  </r>
  <r>
    <n v="4"/>
    <n v="45"/>
    <x v="72"/>
    <x v="12"/>
    <x v="4"/>
    <x v="0"/>
  </r>
  <r>
    <n v="228"/>
    <n v="53"/>
    <x v="73"/>
    <x v="16"/>
    <x v="4"/>
    <x v="0"/>
  </r>
  <r>
    <n v="114"/>
    <n v="25"/>
    <x v="74"/>
    <x v="2"/>
    <x v="3"/>
    <x v="0"/>
  </r>
  <r>
    <n v="890"/>
    <n v="40"/>
    <x v="75"/>
    <x v="17"/>
    <x v="5"/>
    <x v="0"/>
  </r>
  <r>
    <n v="881"/>
    <n v="38"/>
    <x v="76"/>
    <x v="8"/>
    <x v="5"/>
    <x v="0"/>
  </r>
  <r>
    <n v="539"/>
    <n v="42"/>
    <x v="77"/>
    <x v="0"/>
    <x v="3"/>
    <x v="0"/>
  </r>
  <r>
    <n v="154"/>
    <n v="29"/>
    <x v="78"/>
    <x v="8"/>
    <x v="5"/>
    <x v="0"/>
  </r>
  <r>
    <n v="109"/>
    <n v="30"/>
    <x v="79"/>
    <x v="8"/>
    <x v="4"/>
    <x v="0"/>
  </r>
  <r>
    <n v="376"/>
    <n v="37"/>
    <x v="80"/>
    <x v="0"/>
    <x v="1"/>
    <x v="0"/>
  </r>
  <r>
    <n v="871"/>
    <n v="40"/>
    <x v="81"/>
    <x v="2"/>
    <x v="4"/>
    <x v="0"/>
  </r>
  <r>
    <n v="295"/>
    <n v="46"/>
    <x v="82"/>
    <x v="0"/>
    <x v="1"/>
    <x v="0"/>
  </r>
  <r>
    <n v="716"/>
    <n v="63"/>
    <x v="83"/>
    <x v="9"/>
    <x v="5"/>
    <x v="0"/>
  </r>
  <r>
    <n v="288"/>
    <n v="31"/>
    <x v="84"/>
    <x v="0"/>
    <x v="0"/>
    <x v="0"/>
  </r>
  <r>
    <n v="797"/>
    <n v="51"/>
    <x v="85"/>
    <x v="6"/>
    <x v="5"/>
    <x v="0"/>
  </r>
  <r>
    <n v="176"/>
    <n v="53"/>
    <x v="86"/>
    <x v="9"/>
    <x v="5"/>
    <x v="0"/>
  </r>
  <r>
    <n v="651"/>
    <n v="50"/>
    <x v="87"/>
    <x v="0"/>
    <x v="6"/>
    <x v="0"/>
  </r>
  <r>
    <n v="805"/>
    <n v="24"/>
    <x v="88"/>
    <x v="16"/>
    <x v="3"/>
    <x v="0"/>
  </r>
  <r>
    <n v="816"/>
    <n v="54"/>
    <x v="89"/>
    <x v="2"/>
    <x v="3"/>
    <x v="0"/>
  </r>
  <r>
    <n v="256"/>
    <n v="27"/>
    <x v="90"/>
    <x v="3"/>
    <x v="2"/>
    <x v="0"/>
  </r>
  <r>
    <n v="869"/>
    <n v="37"/>
    <x v="91"/>
    <x v="2"/>
    <x v="1"/>
    <x v="0"/>
  </r>
  <r>
    <n v="333"/>
    <n v="24"/>
    <x v="92"/>
    <x v="3"/>
    <x v="3"/>
    <x v="0"/>
  </r>
  <r>
    <n v="972"/>
    <n v="43"/>
    <x v="93"/>
    <x v="8"/>
    <x v="3"/>
    <x v="0"/>
  </r>
  <r>
    <n v="388"/>
    <n v="40"/>
    <x v="94"/>
    <x v="6"/>
    <x v="4"/>
    <x v="0"/>
  </r>
  <r>
    <n v="164"/>
    <n v="70"/>
    <x v="95"/>
    <x v="18"/>
    <x v="3"/>
    <x v="0"/>
  </r>
  <r>
    <n v="974"/>
    <n v="36"/>
    <x v="96"/>
    <x v="3"/>
    <x v="1"/>
    <x v="0"/>
  </r>
  <r>
    <n v="412"/>
    <n v="35"/>
    <x v="97"/>
    <x v="19"/>
    <x v="5"/>
    <x v="0"/>
  </r>
  <r>
    <n v="468"/>
    <n v="32"/>
    <x v="98"/>
    <x v="0"/>
    <x v="2"/>
    <x v="0"/>
  </r>
  <r>
    <n v="49"/>
    <n v="39"/>
    <x v="99"/>
    <x v="20"/>
    <x v="3"/>
    <x v="0"/>
  </r>
  <r>
    <n v="117"/>
    <n v="30"/>
    <x v="100"/>
    <x v="12"/>
    <x v="2"/>
    <x v="0"/>
  </r>
  <r>
    <n v="969"/>
    <n v="29"/>
    <x v="101"/>
    <x v="12"/>
    <x v="2"/>
    <x v="0"/>
  </r>
  <r>
    <n v="518"/>
    <n v="23"/>
    <x v="102"/>
    <x v="2"/>
    <x v="4"/>
    <x v="0"/>
  </r>
  <r>
    <n v="523"/>
    <n v="53"/>
    <x v="103"/>
    <x v="0"/>
    <x v="4"/>
    <x v="0"/>
  </r>
  <r>
    <n v="100"/>
    <n v="36"/>
    <x v="104"/>
    <x v="21"/>
    <x v="5"/>
    <x v="0"/>
  </r>
  <r>
    <n v="553"/>
    <n v="34"/>
    <x v="105"/>
    <x v="0"/>
    <x v="2"/>
    <x v="1"/>
  </r>
  <r>
    <n v="155"/>
    <n v="36"/>
    <x v="106"/>
    <x v="8"/>
    <x v="1"/>
    <x v="1"/>
  </r>
  <r>
    <n v="8"/>
    <n v="35"/>
    <x v="107"/>
    <x v="2"/>
    <x v="5"/>
    <x v="1"/>
  </r>
  <r>
    <n v="132"/>
    <n v="29"/>
    <x v="108"/>
    <x v="2"/>
    <x v="6"/>
    <x v="1"/>
  </r>
  <r>
    <n v="925"/>
    <n v="55"/>
    <x v="109"/>
    <x v="8"/>
    <x v="4"/>
    <x v="1"/>
  </r>
  <r>
    <n v="508"/>
    <n v="34"/>
    <x v="110"/>
    <x v="22"/>
    <x v="3"/>
    <x v="1"/>
  </r>
  <r>
    <n v="940"/>
    <n v="46"/>
    <x v="111"/>
    <x v="8"/>
    <x v="5"/>
    <x v="1"/>
  </r>
  <r>
    <n v="30"/>
    <n v="63"/>
    <x v="112"/>
    <x v="3"/>
    <x v="1"/>
    <x v="1"/>
  </r>
  <r>
    <n v="739"/>
    <n v="45"/>
    <x v="113"/>
    <x v="4"/>
    <x v="3"/>
    <x v="1"/>
  </r>
  <r>
    <n v="847"/>
    <n v="68"/>
    <x v="113"/>
    <x v="6"/>
    <x v="3"/>
    <x v="1"/>
  </r>
  <r>
    <n v="570"/>
    <n v="31"/>
    <x v="114"/>
    <x v="0"/>
    <x v="2"/>
    <x v="1"/>
  </r>
  <r>
    <n v="880"/>
    <n v="36"/>
    <x v="115"/>
    <x v="9"/>
    <x v="2"/>
    <x v="1"/>
  </r>
  <r>
    <n v="830"/>
    <n v="38"/>
    <x v="116"/>
    <x v="0"/>
    <x v="1"/>
    <x v="1"/>
  </r>
  <r>
    <n v="331"/>
    <n v="75"/>
    <x v="117"/>
    <x v="8"/>
    <x v="5"/>
    <x v="1"/>
  </r>
  <r>
    <n v="889"/>
    <n v="34"/>
    <x v="118"/>
    <x v="2"/>
    <x v="3"/>
    <x v="1"/>
  </r>
  <r>
    <n v="989"/>
    <n v="29"/>
    <x v="119"/>
    <x v="8"/>
    <x v="5"/>
    <x v="1"/>
  </r>
  <r>
    <n v="209"/>
    <n v="21"/>
    <x v="120"/>
    <x v="8"/>
    <x v="1"/>
    <x v="1"/>
  </r>
  <r>
    <n v="707"/>
    <n v="24"/>
    <x v="121"/>
    <x v="0"/>
    <x v="3"/>
    <x v="1"/>
  </r>
  <r>
    <n v="686"/>
    <n v="34"/>
    <x v="122"/>
    <x v="3"/>
    <x v="3"/>
    <x v="1"/>
  </r>
  <r>
    <n v="57"/>
    <n v="52"/>
    <x v="123"/>
    <x v="16"/>
    <x v="2"/>
    <x v="1"/>
  </r>
  <r>
    <n v="785"/>
    <n v="60"/>
    <x v="123"/>
    <x v="21"/>
    <x v="5"/>
    <x v="1"/>
  </r>
  <r>
    <n v="107"/>
    <n v="39"/>
    <x v="124"/>
    <x v="6"/>
    <x v="3"/>
    <x v="1"/>
  </r>
  <r>
    <n v="293"/>
    <n v="44"/>
    <x v="125"/>
    <x v="8"/>
    <x v="5"/>
    <x v="1"/>
  </r>
  <r>
    <n v="729"/>
    <n v="59"/>
    <x v="126"/>
    <x v="0"/>
    <x v="1"/>
    <x v="1"/>
  </r>
  <r>
    <n v="731"/>
    <n v="33"/>
    <x v="127"/>
    <x v="8"/>
    <x v="2"/>
    <x v="1"/>
  </r>
  <r>
    <n v="660"/>
    <n v="41"/>
    <x v="128"/>
    <x v="6"/>
    <x v="4"/>
    <x v="1"/>
  </r>
  <r>
    <n v="543"/>
    <n v="31"/>
    <x v="129"/>
    <x v="9"/>
    <x v="4"/>
    <x v="1"/>
  </r>
  <r>
    <n v="702"/>
    <n v="46"/>
    <x v="130"/>
    <x v="0"/>
    <x v="5"/>
    <x v="1"/>
  </r>
  <r>
    <n v="666"/>
    <n v="27"/>
    <x v="131"/>
    <x v="8"/>
    <x v="0"/>
    <x v="1"/>
  </r>
  <r>
    <n v="792"/>
    <n v="41"/>
    <x v="132"/>
    <x v="8"/>
    <x v="5"/>
    <x v="1"/>
  </r>
  <r>
    <n v="267"/>
    <n v="36"/>
    <x v="133"/>
    <x v="2"/>
    <x v="1"/>
    <x v="1"/>
  </r>
  <r>
    <n v="987"/>
    <n v="33"/>
    <x v="134"/>
    <x v="12"/>
    <x v="1"/>
    <x v="1"/>
  </r>
  <r>
    <n v="939"/>
    <n v="42"/>
    <x v="135"/>
    <x v="3"/>
    <x v="6"/>
    <x v="1"/>
  </r>
  <r>
    <n v="113"/>
    <n v="28"/>
    <x v="136"/>
    <x v="6"/>
    <x v="3"/>
    <x v="1"/>
  </r>
  <r>
    <n v="60"/>
    <n v="23"/>
    <x v="137"/>
    <x v="2"/>
    <x v="4"/>
    <x v="1"/>
  </r>
  <r>
    <n v="789"/>
    <n v="50"/>
    <x v="138"/>
    <x v="0"/>
    <x v="6"/>
    <x v="1"/>
  </r>
  <r>
    <n v="43"/>
    <n v="44"/>
    <x v="139"/>
    <x v="6"/>
    <x v="7"/>
    <x v="1"/>
  </r>
  <r>
    <n v="354"/>
    <n v="28"/>
    <x v="140"/>
    <x v="16"/>
    <x v="2"/>
    <x v="1"/>
  </r>
  <r>
    <n v="44"/>
    <n v="24"/>
    <x v="141"/>
    <x v="9"/>
    <x v="5"/>
    <x v="1"/>
  </r>
  <r>
    <n v="720"/>
    <n v="31"/>
    <x v="142"/>
    <x v="21"/>
    <x v="5"/>
    <x v="1"/>
  </r>
  <r>
    <n v="45"/>
    <n v="58"/>
    <x v="143"/>
    <x v="0"/>
    <x v="5"/>
    <x v="1"/>
  </r>
  <r>
    <n v="37"/>
    <n v="31"/>
    <x v="144"/>
    <x v="0"/>
    <x v="6"/>
    <x v="1"/>
  </r>
  <r>
    <n v="108"/>
    <n v="32"/>
    <x v="145"/>
    <x v="16"/>
    <x v="3"/>
    <x v="1"/>
  </r>
  <r>
    <n v="372"/>
    <n v="33"/>
    <x v="146"/>
    <x v="6"/>
    <x v="2"/>
    <x v="1"/>
  </r>
  <r>
    <n v="790"/>
    <n v="27"/>
    <x v="147"/>
    <x v="23"/>
    <x v="6"/>
    <x v="1"/>
  </r>
  <r>
    <n v="52"/>
    <n v="30"/>
    <x v="148"/>
    <x v="14"/>
    <x v="5"/>
    <x v="1"/>
  </r>
  <r>
    <n v="74"/>
    <n v="41"/>
    <x v="149"/>
    <x v="12"/>
    <x v="1"/>
    <x v="1"/>
  </r>
  <r>
    <n v="572"/>
    <n v="38"/>
    <x v="149"/>
    <x v="9"/>
    <x v="2"/>
    <x v="1"/>
  </r>
  <r>
    <n v="2"/>
    <n v="22"/>
    <x v="150"/>
    <x v="0"/>
    <x v="2"/>
    <x v="1"/>
  </r>
  <r>
    <n v="81"/>
    <n v="44"/>
    <x v="151"/>
    <x v="8"/>
    <x v="2"/>
    <x v="1"/>
  </r>
  <r>
    <n v="33"/>
    <n v="30"/>
    <x v="152"/>
    <x v="6"/>
    <x v="3"/>
    <x v="1"/>
  </r>
  <r>
    <n v="153"/>
    <n v="24"/>
    <x v="153"/>
    <x v="2"/>
    <x v="2"/>
    <x v="1"/>
  </r>
  <r>
    <n v="416"/>
    <n v="35"/>
    <x v="154"/>
    <x v="2"/>
    <x v="5"/>
    <x v="1"/>
  </r>
  <r>
    <n v="861"/>
    <n v="27"/>
    <x v="155"/>
    <x v="8"/>
    <x v="5"/>
    <x v="1"/>
  </r>
  <r>
    <n v="327"/>
    <n v="49"/>
    <x v="156"/>
    <x v="16"/>
    <x v="4"/>
    <x v="1"/>
  </r>
  <r>
    <n v="894"/>
    <n v="34"/>
    <x v="157"/>
    <x v="2"/>
    <x v="5"/>
    <x v="1"/>
  </r>
  <r>
    <n v="754"/>
    <n v="25"/>
    <x v="158"/>
    <x v="9"/>
    <x v="2"/>
    <x v="1"/>
  </r>
  <r>
    <n v="341"/>
    <n v="24"/>
    <x v="159"/>
    <x v="8"/>
    <x v="6"/>
    <x v="1"/>
  </r>
  <r>
    <n v="672"/>
    <n v="31"/>
    <x v="160"/>
    <x v="2"/>
    <x v="1"/>
    <x v="1"/>
  </r>
  <r>
    <n v="779"/>
    <n v="38"/>
    <x v="161"/>
    <x v="2"/>
    <x v="5"/>
    <x v="1"/>
  </r>
  <r>
    <n v="678"/>
    <n v="24"/>
    <x v="162"/>
    <x v="24"/>
    <x v="2"/>
    <x v="1"/>
  </r>
  <r>
    <n v="312"/>
    <n v="25"/>
    <x v="163"/>
    <x v="8"/>
    <x v="4"/>
    <x v="1"/>
  </r>
  <r>
    <n v="521"/>
    <n v="44"/>
    <x v="164"/>
    <x v="8"/>
    <x v="7"/>
    <x v="1"/>
  </r>
  <r>
    <n v="502"/>
    <n v="42"/>
    <x v="165"/>
    <x v="2"/>
    <x v="5"/>
    <x v="1"/>
  </r>
  <r>
    <n v="573"/>
    <n v="26"/>
    <x v="166"/>
    <x v="8"/>
    <x v="5"/>
    <x v="1"/>
  </r>
  <r>
    <n v="311"/>
    <n v="40"/>
    <x v="167"/>
    <x v="0"/>
    <x v="0"/>
    <x v="1"/>
  </r>
  <r>
    <n v="149"/>
    <n v="28"/>
    <x v="168"/>
    <x v="2"/>
    <x v="4"/>
    <x v="1"/>
  </r>
  <r>
    <n v="706"/>
    <n v="35"/>
    <x v="169"/>
    <x v="22"/>
    <x v="3"/>
    <x v="1"/>
  </r>
  <r>
    <n v="263"/>
    <n v="36"/>
    <x v="170"/>
    <x v="6"/>
    <x v="3"/>
    <x v="1"/>
  </r>
  <r>
    <n v="213"/>
    <n v="50"/>
    <x v="171"/>
    <x v="14"/>
    <x v="1"/>
    <x v="1"/>
  </r>
  <r>
    <n v="749"/>
    <n v="26"/>
    <x v="172"/>
    <x v="7"/>
    <x v="5"/>
    <x v="1"/>
  </r>
  <r>
    <n v="10"/>
    <n v="28"/>
    <x v="173"/>
    <x v="9"/>
    <x v="3"/>
    <x v="1"/>
  </r>
  <r>
    <n v="66"/>
    <n v="48"/>
    <x v="174"/>
    <x v="14"/>
    <x v="7"/>
    <x v="1"/>
  </r>
  <r>
    <n v="841"/>
    <n v="29"/>
    <x v="175"/>
    <x v="2"/>
    <x v="4"/>
    <x v="1"/>
  </r>
  <r>
    <n v="478"/>
    <n v="25"/>
    <x v="176"/>
    <x v="8"/>
    <x v="2"/>
    <x v="1"/>
  </r>
  <r>
    <n v="677"/>
    <n v="33"/>
    <x v="177"/>
    <x v="8"/>
    <x v="4"/>
    <x v="1"/>
  </r>
  <r>
    <n v="187"/>
    <n v="74"/>
    <x v="178"/>
    <x v="25"/>
    <x v="5"/>
    <x v="1"/>
  </r>
  <r>
    <n v="203"/>
    <n v="26"/>
    <x v="179"/>
    <x v="14"/>
    <x v="1"/>
    <x v="1"/>
  </r>
  <r>
    <n v="684"/>
    <n v="47"/>
    <x v="180"/>
    <x v="8"/>
    <x v="2"/>
    <x v="1"/>
  </r>
  <r>
    <n v="445"/>
    <n v="30"/>
    <x v="181"/>
    <x v="0"/>
    <x v="4"/>
    <x v="1"/>
  </r>
  <r>
    <n v="834"/>
    <n v="42"/>
    <x v="182"/>
    <x v="8"/>
    <x v="2"/>
    <x v="1"/>
  </r>
  <r>
    <n v="761"/>
    <n v="59"/>
    <x v="183"/>
    <x v="22"/>
    <x v="3"/>
    <x v="1"/>
  </r>
  <r>
    <n v="558"/>
    <n v="29"/>
    <x v="184"/>
    <x v="7"/>
    <x v="3"/>
    <x v="1"/>
  </r>
  <r>
    <n v="781"/>
    <n v="25"/>
    <x v="185"/>
    <x v="5"/>
    <x v="2"/>
    <x v="1"/>
  </r>
  <r>
    <n v="5"/>
    <n v="53"/>
    <x v="186"/>
    <x v="8"/>
    <x v="3"/>
    <x v="1"/>
  </r>
  <r>
    <n v="982"/>
    <n v="33"/>
    <x v="187"/>
    <x v="0"/>
    <x v="1"/>
    <x v="1"/>
  </r>
  <r>
    <n v="669"/>
    <n v="43"/>
    <x v="188"/>
    <x v="16"/>
    <x v="3"/>
    <x v="1"/>
  </r>
  <r>
    <n v="455"/>
    <n v="31"/>
    <x v="189"/>
    <x v="8"/>
    <x v="3"/>
    <x v="1"/>
  </r>
  <r>
    <n v="307"/>
    <n v="24"/>
    <x v="190"/>
    <x v="9"/>
    <x v="5"/>
    <x v="1"/>
  </r>
  <r>
    <n v="294"/>
    <n v="56"/>
    <x v="191"/>
    <x v="12"/>
    <x v="5"/>
    <x v="1"/>
  </r>
  <r>
    <n v="142"/>
    <n v="30"/>
    <x v="192"/>
    <x v="2"/>
    <x v="2"/>
    <x v="1"/>
  </r>
  <r>
    <n v="287"/>
    <n v="26"/>
    <x v="193"/>
    <x v="0"/>
    <x v="5"/>
    <x v="1"/>
  </r>
  <r>
    <n v="78"/>
    <n v="51"/>
    <x v="194"/>
    <x v="20"/>
    <x v="2"/>
    <x v="1"/>
  </r>
  <r>
    <n v="36"/>
    <n v="25"/>
    <x v="195"/>
    <x v="10"/>
    <x v="2"/>
    <x v="1"/>
  </r>
  <r>
    <n v="912"/>
    <n v="25"/>
    <x v="196"/>
    <x v="8"/>
    <x v="4"/>
    <x v="1"/>
  </r>
  <r>
    <n v="694"/>
    <n v="44"/>
    <x v="197"/>
    <x v="4"/>
    <x v="3"/>
    <x v="1"/>
  </r>
  <r>
    <n v="565"/>
    <n v="37"/>
    <x v="198"/>
    <x v="8"/>
    <x v="1"/>
    <x v="1"/>
  </r>
  <r>
    <n v="512"/>
    <n v="32"/>
    <x v="199"/>
    <x v="2"/>
    <x v="5"/>
    <x v="1"/>
  </r>
  <r>
    <n v="470"/>
    <n v="35"/>
    <x v="200"/>
    <x v="8"/>
    <x v="5"/>
    <x v="1"/>
  </r>
  <r>
    <n v="297"/>
    <n v="20"/>
    <x v="201"/>
    <x v="16"/>
    <x v="5"/>
    <x v="1"/>
  </r>
  <r>
    <n v="225"/>
    <n v="30"/>
    <x v="202"/>
    <x v="22"/>
    <x v="5"/>
    <x v="1"/>
  </r>
  <r>
    <n v="643"/>
    <n v="40"/>
    <x v="203"/>
    <x v="22"/>
    <x v="6"/>
    <x v="1"/>
  </r>
  <r>
    <n v="279"/>
    <n v="32"/>
    <x v="204"/>
    <x v="4"/>
    <x v="4"/>
    <x v="1"/>
  </r>
  <r>
    <n v="243"/>
    <n v="24"/>
    <x v="205"/>
    <x v="0"/>
    <x v="5"/>
    <x v="1"/>
  </r>
  <r>
    <n v="460"/>
    <n v="32"/>
    <x v="206"/>
    <x v="6"/>
    <x v="2"/>
    <x v="1"/>
  </r>
  <r>
    <n v="191"/>
    <n v="54"/>
    <x v="207"/>
    <x v="8"/>
    <x v="1"/>
    <x v="1"/>
  </r>
  <r>
    <n v="647"/>
    <n v="32"/>
    <x v="208"/>
    <x v="9"/>
    <x v="4"/>
    <x v="1"/>
  </r>
  <r>
    <n v="1000"/>
    <n v="27"/>
    <x v="209"/>
    <x v="10"/>
    <x v="5"/>
    <x v="1"/>
  </r>
  <r>
    <n v="676"/>
    <n v="26"/>
    <x v="210"/>
    <x v="9"/>
    <x v="2"/>
    <x v="1"/>
  </r>
  <r>
    <n v="607"/>
    <n v="74"/>
    <x v="211"/>
    <x v="8"/>
    <x v="1"/>
    <x v="1"/>
  </r>
  <r>
    <n v="864"/>
    <n v="32"/>
    <x v="211"/>
    <x v="14"/>
    <x v="4"/>
    <x v="1"/>
  </r>
  <r>
    <n v="329"/>
    <n v="31"/>
    <x v="212"/>
    <x v="2"/>
    <x v="2"/>
    <x v="1"/>
  </r>
  <r>
    <n v="358"/>
    <n v="26"/>
    <x v="213"/>
    <x v="2"/>
    <x v="2"/>
    <x v="1"/>
  </r>
  <r>
    <n v="182"/>
    <n v="30"/>
    <x v="214"/>
    <x v="2"/>
    <x v="1"/>
    <x v="1"/>
  </r>
  <r>
    <n v="911"/>
    <n v="34"/>
    <x v="215"/>
    <x v="2"/>
    <x v="2"/>
    <x v="1"/>
  </r>
  <r>
    <n v="344"/>
    <n v="33"/>
    <x v="216"/>
    <x v="6"/>
    <x v="1"/>
    <x v="1"/>
  </r>
  <r>
    <n v="738"/>
    <n v="35"/>
    <x v="217"/>
    <x v="6"/>
    <x v="3"/>
    <x v="1"/>
  </r>
  <r>
    <n v="640"/>
    <n v="26"/>
    <x v="218"/>
    <x v="12"/>
    <x v="2"/>
    <x v="1"/>
  </r>
  <r>
    <n v="318"/>
    <n v="48"/>
    <x v="219"/>
    <x v="8"/>
    <x v="4"/>
    <x v="1"/>
  </r>
  <r>
    <n v="12"/>
    <n v="24"/>
    <x v="220"/>
    <x v="0"/>
    <x v="1"/>
    <x v="1"/>
  </r>
  <r>
    <n v="200"/>
    <n v="40"/>
    <x v="221"/>
    <x v="6"/>
    <x v="4"/>
    <x v="1"/>
  </r>
  <r>
    <n v="119"/>
    <n v="23"/>
    <x v="222"/>
    <x v="19"/>
    <x v="4"/>
    <x v="1"/>
  </r>
  <r>
    <n v="740"/>
    <n v="26"/>
    <x v="223"/>
    <x v="9"/>
    <x v="1"/>
    <x v="1"/>
  </r>
  <r>
    <n v="385"/>
    <n v="26"/>
    <x v="224"/>
    <x v="9"/>
    <x v="1"/>
    <x v="1"/>
  </r>
  <r>
    <n v="803"/>
    <n v="24"/>
    <x v="224"/>
    <x v="21"/>
    <x v="4"/>
    <x v="1"/>
  </r>
  <r>
    <n v="321"/>
    <n v="28"/>
    <x v="225"/>
    <x v="9"/>
    <x v="3"/>
    <x v="1"/>
  </r>
  <r>
    <n v="598"/>
    <n v="36"/>
    <x v="226"/>
    <x v="8"/>
    <x v="1"/>
    <x v="1"/>
  </r>
  <r>
    <n v="659"/>
    <n v="28"/>
    <x v="227"/>
    <x v="9"/>
    <x v="1"/>
    <x v="1"/>
  </r>
  <r>
    <n v="231"/>
    <n v="26"/>
    <x v="228"/>
    <x v="2"/>
    <x v="2"/>
    <x v="1"/>
  </r>
  <r>
    <n v="339"/>
    <n v="28"/>
    <x v="229"/>
    <x v="8"/>
    <x v="4"/>
    <x v="1"/>
  </r>
  <r>
    <n v="828"/>
    <n v="36"/>
    <x v="230"/>
    <x v="6"/>
    <x v="1"/>
    <x v="1"/>
  </r>
  <r>
    <n v="900"/>
    <n v="42"/>
    <x v="231"/>
    <x v="6"/>
    <x v="4"/>
    <x v="1"/>
  </r>
  <r>
    <n v="254"/>
    <n v="35"/>
    <x v="232"/>
    <x v="8"/>
    <x v="4"/>
    <x v="1"/>
  </r>
  <r>
    <n v="671"/>
    <n v="27"/>
    <x v="233"/>
    <x v="8"/>
    <x v="1"/>
    <x v="1"/>
  </r>
  <r>
    <n v="953"/>
    <n v="28"/>
    <x v="234"/>
    <x v="8"/>
    <x v="5"/>
    <x v="1"/>
  </r>
  <r>
    <n v="335"/>
    <n v="23"/>
    <x v="235"/>
    <x v="8"/>
    <x v="4"/>
    <x v="1"/>
  </r>
  <r>
    <n v="885"/>
    <n v="43"/>
    <x v="236"/>
    <x v="8"/>
    <x v="4"/>
    <x v="1"/>
  </r>
  <r>
    <n v="629"/>
    <n v="36"/>
    <x v="237"/>
    <x v="12"/>
    <x v="4"/>
    <x v="1"/>
  </r>
  <r>
    <n v="852"/>
    <n v="43"/>
    <x v="237"/>
    <x v="8"/>
    <x v="5"/>
    <x v="1"/>
  </r>
  <r>
    <n v="32"/>
    <n v="27"/>
    <x v="238"/>
    <x v="8"/>
    <x v="4"/>
    <x v="1"/>
  </r>
  <r>
    <n v="959"/>
    <n v="45"/>
    <x v="239"/>
    <x v="17"/>
    <x v="3"/>
    <x v="1"/>
  </r>
  <r>
    <n v="736"/>
    <n v="29"/>
    <x v="240"/>
    <x v="2"/>
    <x v="8"/>
    <x v="1"/>
  </r>
  <r>
    <n v="569"/>
    <n v="41"/>
    <x v="241"/>
    <x v="0"/>
    <x v="2"/>
    <x v="1"/>
  </r>
  <r>
    <n v="846"/>
    <n v="35"/>
    <x v="242"/>
    <x v="7"/>
    <x v="4"/>
    <x v="1"/>
  </r>
  <r>
    <n v="656"/>
    <n v="22"/>
    <x v="243"/>
    <x v="13"/>
    <x v="3"/>
    <x v="1"/>
  </r>
  <r>
    <n v="169"/>
    <n v="25"/>
    <x v="244"/>
    <x v="8"/>
    <x v="4"/>
    <x v="1"/>
  </r>
  <r>
    <n v="827"/>
    <n v="33"/>
    <x v="245"/>
    <x v="6"/>
    <x v="3"/>
    <x v="1"/>
  </r>
  <r>
    <n v="77"/>
    <n v="34"/>
    <x v="246"/>
    <x v="12"/>
    <x v="2"/>
    <x v="1"/>
  </r>
  <r>
    <n v="859"/>
    <n v="29"/>
    <x v="247"/>
    <x v="22"/>
    <x v="3"/>
    <x v="1"/>
  </r>
  <r>
    <n v="994"/>
    <n v="30"/>
    <x v="247"/>
    <x v="2"/>
    <x v="4"/>
    <x v="1"/>
  </r>
  <r>
    <n v="345"/>
    <n v="37"/>
    <x v="248"/>
    <x v="18"/>
    <x v="3"/>
    <x v="1"/>
  </r>
  <r>
    <n v="970"/>
    <n v="40"/>
    <x v="249"/>
    <x v="20"/>
    <x v="3"/>
    <x v="1"/>
  </r>
  <r>
    <n v="815"/>
    <n v="46"/>
    <x v="250"/>
    <x v="0"/>
    <x v="3"/>
    <x v="1"/>
  </r>
  <r>
    <n v="193"/>
    <n v="36"/>
    <x v="251"/>
    <x v="14"/>
    <x v="1"/>
    <x v="1"/>
  </r>
  <r>
    <n v="623"/>
    <n v="38"/>
    <x v="252"/>
    <x v="0"/>
    <x v="1"/>
    <x v="1"/>
  </r>
  <r>
    <n v="218"/>
    <n v="23"/>
    <x v="253"/>
    <x v="2"/>
    <x v="2"/>
    <x v="1"/>
  </r>
  <r>
    <n v="457"/>
    <n v="36"/>
    <x v="254"/>
    <x v="20"/>
    <x v="3"/>
    <x v="1"/>
  </r>
  <r>
    <n v="285"/>
    <n v="37"/>
    <x v="255"/>
    <x v="8"/>
    <x v="3"/>
    <x v="1"/>
  </r>
  <r>
    <n v="780"/>
    <n v="67"/>
    <x v="256"/>
    <x v="6"/>
    <x v="7"/>
    <x v="1"/>
  </r>
  <r>
    <n v="122"/>
    <n v="41"/>
    <x v="257"/>
    <x v="8"/>
    <x v="5"/>
    <x v="1"/>
  </r>
  <r>
    <n v="600"/>
    <n v="32"/>
    <x v="258"/>
    <x v="8"/>
    <x v="1"/>
    <x v="1"/>
  </r>
  <r>
    <n v="997"/>
    <n v="40"/>
    <x v="259"/>
    <x v="9"/>
    <x v="5"/>
    <x v="1"/>
  </r>
  <r>
    <n v="367"/>
    <n v="27"/>
    <x v="260"/>
    <x v="6"/>
    <x v="5"/>
    <x v="1"/>
  </r>
  <r>
    <n v="192"/>
    <n v="34"/>
    <x v="261"/>
    <x v="0"/>
    <x v="1"/>
    <x v="1"/>
  </r>
  <r>
    <n v="212"/>
    <n v="45"/>
    <x v="262"/>
    <x v="2"/>
    <x v="2"/>
    <x v="1"/>
  </r>
  <r>
    <n v="80"/>
    <n v="22"/>
    <x v="263"/>
    <x v="9"/>
    <x v="4"/>
    <x v="1"/>
  </r>
  <r>
    <n v="630"/>
    <n v="64"/>
    <x v="263"/>
    <x v="25"/>
    <x v="6"/>
    <x v="1"/>
  </r>
  <r>
    <n v="259"/>
    <n v="23"/>
    <x v="264"/>
    <x v="22"/>
    <x v="5"/>
    <x v="1"/>
  </r>
  <r>
    <n v="302"/>
    <n v="42"/>
    <x v="265"/>
    <x v="2"/>
    <x v="2"/>
    <x v="1"/>
  </r>
  <r>
    <n v="825"/>
    <n v="35"/>
    <x v="266"/>
    <x v="6"/>
    <x v="4"/>
    <x v="1"/>
  </r>
  <r>
    <n v="184"/>
    <n v="50"/>
    <x v="267"/>
    <x v="8"/>
    <x v="4"/>
    <x v="1"/>
  </r>
  <r>
    <n v="907"/>
    <n v="24"/>
    <x v="268"/>
    <x v="7"/>
    <x v="3"/>
    <x v="1"/>
  </r>
  <r>
    <n v="348"/>
    <n v="23"/>
    <x v="269"/>
    <x v="8"/>
    <x v="2"/>
    <x v="1"/>
  </r>
  <r>
    <n v="488"/>
    <n v="62"/>
    <x v="270"/>
    <x v="8"/>
    <x v="3"/>
    <x v="1"/>
  </r>
  <r>
    <n v="313"/>
    <n v="26"/>
    <x v="271"/>
    <x v="8"/>
    <x v="4"/>
    <x v="1"/>
  </r>
  <r>
    <n v="908"/>
    <n v="27"/>
    <x v="272"/>
    <x v="2"/>
    <x v="6"/>
    <x v="1"/>
  </r>
  <r>
    <n v="618"/>
    <n v="37"/>
    <x v="273"/>
    <x v="4"/>
    <x v="3"/>
    <x v="1"/>
  </r>
  <r>
    <n v="631"/>
    <n v="28"/>
    <x v="274"/>
    <x v="8"/>
    <x v="2"/>
    <x v="1"/>
  </r>
  <r>
    <n v="957"/>
    <n v="49"/>
    <x v="275"/>
    <x v="9"/>
    <x v="2"/>
    <x v="1"/>
  </r>
  <r>
    <n v="621"/>
    <n v="27"/>
    <x v="276"/>
    <x v="7"/>
    <x v="1"/>
    <x v="1"/>
  </r>
  <r>
    <n v="690"/>
    <n v="31"/>
    <x v="277"/>
    <x v="16"/>
    <x v="3"/>
    <x v="1"/>
  </r>
  <r>
    <n v="368"/>
    <n v="22"/>
    <x v="278"/>
    <x v="6"/>
    <x v="4"/>
    <x v="1"/>
  </r>
  <r>
    <n v="320"/>
    <n v="27"/>
    <x v="279"/>
    <x v="22"/>
    <x v="4"/>
    <x v="1"/>
  </r>
  <r>
    <n v="614"/>
    <n v="22"/>
    <x v="280"/>
    <x v="8"/>
    <x v="5"/>
    <x v="1"/>
  </r>
  <r>
    <n v="483"/>
    <n v="57"/>
    <x v="281"/>
    <x v="9"/>
    <x v="4"/>
    <x v="1"/>
  </r>
  <r>
    <n v="950"/>
    <n v="31"/>
    <x v="282"/>
    <x v="8"/>
    <x v="2"/>
    <x v="1"/>
  </r>
  <r>
    <n v="461"/>
    <n v="37"/>
    <x v="283"/>
    <x v="2"/>
    <x v="4"/>
    <x v="1"/>
  </r>
  <r>
    <n v="94"/>
    <n v="20"/>
    <x v="284"/>
    <x v="8"/>
    <x v="4"/>
    <x v="1"/>
  </r>
  <r>
    <n v="769"/>
    <n v="28"/>
    <x v="284"/>
    <x v="16"/>
    <x v="4"/>
    <x v="1"/>
  </r>
  <r>
    <n v="538"/>
    <n v="37"/>
    <x v="285"/>
    <x v="6"/>
    <x v="4"/>
    <x v="1"/>
  </r>
  <r>
    <n v="668"/>
    <n v="27"/>
    <x v="286"/>
    <x v="0"/>
    <x v="1"/>
    <x v="1"/>
  </r>
  <r>
    <n v="342"/>
    <n v="26"/>
    <x v="287"/>
    <x v="7"/>
    <x v="4"/>
    <x v="1"/>
  </r>
  <r>
    <n v="878"/>
    <n v="28"/>
    <x v="288"/>
    <x v="2"/>
    <x v="2"/>
    <x v="1"/>
  </r>
  <r>
    <n v="909"/>
    <n v="46"/>
    <x v="289"/>
    <x v="22"/>
    <x v="5"/>
    <x v="1"/>
  </r>
  <r>
    <n v="875"/>
    <n v="29"/>
    <x v="290"/>
    <x v="16"/>
    <x v="4"/>
    <x v="1"/>
  </r>
  <r>
    <n v="951"/>
    <n v="40"/>
    <x v="290"/>
    <x v="6"/>
    <x v="1"/>
    <x v="1"/>
  </r>
  <r>
    <n v="116"/>
    <n v="47"/>
    <x v="291"/>
    <x v="0"/>
    <x v="2"/>
    <x v="1"/>
  </r>
  <r>
    <n v="860"/>
    <n v="26"/>
    <x v="292"/>
    <x v="25"/>
    <x v="3"/>
    <x v="1"/>
  </r>
  <r>
    <n v="481"/>
    <n v="23"/>
    <x v="293"/>
    <x v="16"/>
    <x v="2"/>
    <x v="1"/>
  </r>
  <r>
    <n v="968"/>
    <n v="54"/>
    <x v="294"/>
    <x v="22"/>
    <x v="2"/>
    <x v="1"/>
  </r>
  <r>
    <n v="146"/>
    <n v="30"/>
    <x v="295"/>
    <x v="0"/>
    <x v="1"/>
    <x v="1"/>
  </r>
  <r>
    <n v="991"/>
    <n v="37"/>
    <x v="296"/>
    <x v="16"/>
    <x v="6"/>
    <x v="1"/>
  </r>
  <r>
    <n v="963"/>
    <n v="29"/>
    <x v="297"/>
    <x v="22"/>
    <x v="3"/>
    <x v="1"/>
  </r>
  <r>
    <n v="559"/>
    <n v="27"/>
    <x v="298"/>
    <x v="8"/>
    <x v="4"/>
    <x v="1"/>
  </r>
  <r>
    <n v="777"/>
    <n v="37"/>
    <x v="299"/>
    <x v="2"/>
    <x v="3"/>
    <x v="1"/>
  </r>
  <r>
    <n v="941"/>
    <n v="45"/>
    <x v="300"/>
    <x v="16"/>
    <x v="3"/>
    <x v="1"/>
  </r>
  <r>
    <n v="490"/>
    <n v="26"/>
    <x v="301"/>
    <x v="4"/>
    <x v="3"/>
    <x v="1"/>
  </r>
  <r>
    <n v="159"/>
    <n v="38"/>
    <x v="302"/>
    <x v="8"/>
    <x v="3"/>
    <x v="1"/>
  </r>
  <r>
    <n v="778"/>
    <n v="25"/>
    <x v="303"/>
    <x v="6"/>
    <x v="2"/>
    <x v="1"/>
  </r>
  <r>
    <n v="130"/>
    <n v="29"/>
    <x v="304"/>
    <x v="16"/>
    <x v="3"/>
    <x v="1"/>
  </r>
  <r>
    <n v="667"/>
    <n v="34"/>
    <x v="305"/>
    <x v="9"/>
    <x v="4"/>
    <x v="1"/>
  </r>
  <r>
    <n v="524"/>
    <n v="23"/>
    <x v="306"/>
    <x v="8"/>
    <x v="5"/>
    <x v="1"/>
  </r>
  <r>
    <n v="902"/>
    <n v="44"/>
    <x v="307"/>
    <x v="21"/>
    <x v="3"/>
    <x v="1"/>
  </r>
  <r>
    <n v="431"/>
    <n v="74"/>
    <x v="308"/>
    <x v="26"/>
    <x v="1"/>
    <x v="1"/>
  </r>
  <r>
    <n v="245"/>
    <n v="35"/>
    <x v="309"/>
    <x v="16"/>
    <x v="9"/>
    <x v="1"/>
  </r>
  <r>
    <n v="369"/>
    <n v="42"/>
    <x v="310"/>
    <x v="2"/>
    <x v="4"/>
    <x v="1"/>
  </r>
  <r>
    <n v="619"/>
    <n v="21"/>
    <x v="311"/>
    <x v="9"/>
    <x v="4"/>
    <x v="1"/>
  </r>
  <r>
    <n v="20"/>
    <n v="31"/>
    <x v="312"/>
    <x v="8"/>
    <x v="2"/>
    <x v="1"/>
  </r>
  <r>
    <n v="845"/>
    <n v="47"/>
    <x v="313"/>
    <x v="6"/>
    <x v="4"/>
    <x v="1"/>
  </r>
  <r>
    <n v="143"/>
    <n v="27"/>
    <x v="314"/>
    <x v="14"/>
    <x v="2"/>
    <x v="1"/>
  </r>
  <r>
    <n v="175"/>
    <n v="26"/>
    <x v="315"/>
    <x v="7"/>
    <x v="6"/>
    <x v="1"/>
  </r>
  <r>
    <n v="362"/>
    <n v="37"/>
    <x v="316"/>
    <x v="16"/>
    <x v="2"/>
    <x v="1"/>
  </r>
  <r>
    <n v="326"/>
    <n v="39"/>
    <x v="317"/>
    <x v="27"/>
    <x v="3"/>
    <x v="1"/>
  </r>
  <r>
    <n v="439"/>
    <n v="65"/>
    <x v="318"/>
    <x v="12"/>
    <x v="7"/>
    <x v="1"/>
  </r>
  <r>
    <n v="458"/>
    <n v="35"/>
    <x v="319"/>
    <x v="16"/>
    <x v="5"/>
    <x v="1"/>
  </r>
  <r>
    <n v="336"/>
    <n v="44"/>
    <x v="320"/>
    <x v="4"/>
    <x v="4"/>
    <x v="1"/>
  </r>
  <r>
    <n v="735"/>
    <n v="37"/>
    <x v="321"/>
    <x v="28"/>
    <x v="3"/>
    <x v="1"/>
  </r>
  <r>
    <n v="54"/>
    <n v="31"/>
    <x v="322"/>
    <x v="6"/>
    <x v="5"/>
    <x v="1"/>
  </r>
  <r>
    <n v="281"/>
    <n v="23"/>
    <x v="323"/>
    <x v="22"/>
    <x v="5"/>
    <x v="1"/>
  </r>
  <r>
    <n v="613"/>
    <n v="29"/>
    <x v="324"/>
    <x v="7"/>
    <x v="2"/>
    <x v="1"/>
  </r>
  <r>
    <n v="604"/>
    <n v="28"/>
    <x v="325"/>
    <x v="2"/>
    <x v="4"/>
    <x v="1"/>
  </r>
  <r>
    <n v="947"/>
    <n v="30"/>
    <x v="325"/>
    <x v="8"/>
    <x v="4"/>
    <x v="1"/>
  </r>
  <r>
    <n v="920"/>
    <n v="39"/>
    <x v="326"/>
    <x v="8"/>
    <x v="4"/>
    <x v="1"/>
  </r>
  <r>
    <n v="858"/>
    <n v="28"/>
    <x v="327"/>
    <x v="22"/>
    <x v="4"/>
    <x v="1"/>
  </r>
  <r>
    <n v="215"/>
    <n v="51"/>
    <x v="328"/>
    <x v="2"/>
    <x v="2"/>
    <x v="1"/>
  </r>
  <r>
    <n v="868"/>
    <n v="42"/>
    <x v="329"/>
    <x v="16"/>
    <x v="4"/>
    <x v="1"/>
  </r>
  <r>
    <n v="773"/>
    <n v="36"/>
    <x v="330"/>
    <x v="7"/>
    <x v="5"/>
    <x v="1"/>
  </r>
  <r>
    <n v="393"/>
    <n v="39"/>
    <x v="331"/>
    <x v="2"/>
    <x v="3"/>
    <x v="1"/>
  </r>
  <r>
    <n v="190"/>
    <n v="33"/>
    <x v="332"/>
    <x v="6"/>
    <x v="4"/>
    <x v="1"/>
  </r>
  <r>
    <n v="409"/>
    <n v="26"/>
    <x v="333"/>
    <x v="8"/>
    <x v="2"/>
    <x v="1"/>
  </r>
  <r>
    <n v="571"/>
    <n v="23"/>
    <x v="334"/>
    <x v="8"/>
    <x v="4"/>
    <x v="1"/>
  </r>
  <r>
    <n v="353"/>
    <n v="38"/>
    <x v="335"/>
    <x v="6"/>
    <x v="5"/>
    <x v="1"/>
  </r>
  <r>
    <n v="343"/>
    <n v="25"/>
    <x v="336"/>
    <x v="6"/>
    <x v="2"/>
    <x v="1"/>
  </r>
  <r>
    <n v="910"/>
    <n v="33"/>
    <x v="337"/>
    <x v="25"/>
    <x v="3"/>
    <x v="1"/>
  </r>
  <r>
    <n v="522"/>
    <n v="24"/>
    <x v="338"/>
    <x v="6"/>
    <x v="2"/>
    <x v="1"/>
  </r>
  <r>
    <n v="421"/>
    <n v="20"/>
    <x v="339"/>
    <x v="22"/>
    <x v="3"/>
    <x v="1"/>
  </r>
  <r>
    <n v="65"/>
    <n v="26"/>
    <x v="340"/>
    <x v="8"/>
    <x v="2"/>
    <x v="1"/>
  </r>
  <r>
    <n v="915"/>
    <n v="31"/>
    <x v="341"/>
    <x v="8"/>
    <x v="1"/>
    <x v="1"/>
  </r>
  <r>
    <n v="743"/>
    <n v="41"/>
    <x v="342"/>
    <x v="7"/>
    <x v="2"/>
    <x v="1"/>
  </r>
  <r>
    <n v="230"/>
    <n v="22"/>
    <x v="343"/>
    <x v="8"/>
    <x v="4"/>
    <x v="1"/>
  </r>
  <r>
    <n v="719"/>
    <n v="31"/>
    <x v="344"/>
    <x v="8"/>
    <x v="2"/>
    <x v="1"/>
  </r>
  <r>
    <n v="582"/>
    <n v="49"/>
    <x v="345"/>
    <x v="16"/>
    <x v="3"/>
    <x v="1"/>
  </r>
  <r>
    <n v="501"/>
    <n v="27"/>
    <x v="346"/>
    <x v="8"/>
    <x v="3"/>
    <x v="1"/>
  </r>
  <r>
    <n v="476"/>
    <n v="26"/>
    <x v="347"/>
    <x v="6"/>
    <x v="4"/>
    <x v="1"/>
  </r>
  <r>
    <n v="767"/>
    <n v="31"/>
    <x v="348"/>
    <x v="9"/>
    <x v="4"/>
    <x v="1"/>
  </r>
  <r>
    <n v="535"/>
    <n v="25"/>
    <x v="349"/>
    <x v="8"/>
    <x v="2"/>
    <x v="1"/>
  </r>
  <r>
    <n v="217"/>
    <n v="31"/>
    <x v="350"/>
    <x v="6"/>
    <x v="1"/>
    <x v="1"/>
  </r>
  <r>
    <n v="471"/>
    <n v="22"/>
    <x v="351"/>
    <x v="8"/>
    <x v="2"/>
    <x v="1"/>
  </r>
  <r>
    <n v="371"/>
    <n v="36"/>
    <x v="352"/>
    <x v="2"/>
    <x v="3"/>
    <x v="1"/>
  </r>
  <r>
    <n v="487"/>
    <n v="52"/>
    <x v="353"/>
    <x v="16"/>
    <x v="2"/>
    <x v="1"/>
  </r>
  <r>
    <n v="717"/>
    <n v="40"/>
    <x v="353"/>
    <x v="9"/>
    <x v="2"/>
    <x v="1"/>
  </r>
  <r>
    <n v="211"/>
    <n v="33"/>
    <x v="354"/>
    <x v="25"/>
    <x v="2"/>
    <x v="1"/>
  </r>
  <r>
    <n v="960"/>
    <n v="30"/>
    <x v="355"/>
    <x v="8"/>
    <x v="4"/>
    <x v="1"/>
  </r>
  <r>
    <n v="795"/>
    <n v="32"/>
    <x v="356"/>
    <x v="8"/>
    <x v="4"/>
    <x v="1"/>
  </r>
  <r>
    <n v="274"/>
    <n v="28"/>
    <x v="357"/>
    <x v="0"/>
    <x v="2"/>
    <x v="1"/>
  </r>
  <r>
    <n v="9"/>
    <n v="61"/>
    <x v="358"/>
    <x v="16"/>
    <x v="2"/>
    <x v="1"/>
  </r>
  <r>
    <n v="814"/>
    <n v="54"/>
    <x v="359"/>
    <x v="0"/>
    <x v="8"/>
    <x v="1"/>
  </r>
  <r>
    <n v="540"/>
    <n v="45"/>
    <x v="360"/>
    <x v="6"/>
    <x v="4"/>
    <x v="1"/>
  </r>
  <r>
    <n v="195"/>
    <n v="21"/>
    <x v="361"/>
    <x v="10"/>
    <x v="2"/>
    <x v="1"/>
  </r>
  <r>
    <n v="750"/>
    <n v="33"/>
    <x v="362"/>
    <x v="22"/>
    <x v="5"/>
    <x v="1"/>
  </r>
  <r>
    <n v="219"/>
    <n v="24"/>
    <x v="363"/>
    <x v="8"/>
    <x v="4"/>
    <x v="1"/>
  </r>
  <r>
    <n v="463"/>
    <n v="34"/>
    <x v="364"/>
    <x v="16"/>
    <x v="4"/>
    <x v="1"/>
  </r>
  <r>
    <n v="670"/>
    <n v="47"/>
    <x v="364"/>
    <x v="9"/>
    <x v="2"/>
    <x v="1"/>
  </r>
  <r>
    <n v="822"/>
    <n v="24"/>
    <x v="365"/>
    <x v="16"/>
    <x v="2"/>
    <x v="1"/>
  </r>
  <r>
    <n v="370"/>
    <n v="40"/>
    <x v="366"/>
    <x v="6"/>
    <x v="4"/>
    <x v="1"/>
  </r>
  <r>
    <n v="496"/>
    <n v="20"/>
    <x v="367"/>
    <x v="8"/>
    <x v="4"/>
    <x v="0"/>
  </r>
  <r>
    <n v="842"/>
    <n v="28"/>
    <x v="368"/>
    <x v="7"/>
    <x v="5"/>
    <x v="0"/>
  </r>
  <r>
    <n v="913"/>
    <n v="25"/>
    <x v="369"/>
    <x v="9"/>
    <x v="2"/>
    <x v="0"/>
  </r>
  <r>
    <n v="166"/>
    <n v="32"/>
    <x v="370"/>
    <x v="4"/>
    <x v="4"/>
    <x v="2"/>
  </r>
  <r>
    <n v="224"/>
    <n v="32"/>
    <x v="370"/>
    <x v="8"/>
    <x v="1"/>
    <x v="0"/>
  </r>
  <r>
    <n v="708"/>
    <n v="25"/>
    <x v="371"/>
    <x v="16"/>
    <x v="4"/>
    <x v="2"/>
  </r>
  <r>
    <n v="561"/>
    <n v="49"/>
    <x v="372"/>
    <x v="8"/>
    <x v="5"/>
    <x v="0"/>
  </r>
  <r>
    <n v="839"/>
    <n v="63"/>
    <x v="373"/>
    <x v="8"/>
    <x v="5"/>
    <x v="0"/>
  </r>
  <r>
    <n v="577"/>
    <n v="27"/>
    <x v="374"/>
    <x v="16"/>
    <x v="2"/>
    <x v="2"/>
  </r>
  <r>
    <n v="466"/>
    <n v="63"/>
    <x v="375"/>
    <x v="8"/>
    <x v="5"/>
    <x v="0"/>
  </r>
  <r>
    <n v="983"/>
    <n v="28"/>
    <x v="376"/>
    <x v="7"/>
    <x v="3"/>
    <x v="0"/>
  </r>
  <r>
    <n v="323"/>
    <n v="34"/>
    <x v="377"/>
    <x v="8"/>
    <x v="5"/>
    <x v="0"/>
  </r>
  <r>
    <n v="768"/>
    <n v="31"/>
    <x v="378"/>
    <x v="18"/>
    <x v="5"/>
    <x v="2"/>
  </r>
  <r>
    <n v="405"/>
    <n v="43"/>
    <x v="379"/>
    <x v="6"/>
    <x v="3"/>
    <x v="0"/>
  </r>
  <r>
    <n v="693"/>
    <n v="29"/>
    <x v="380"/>
    <x v="8"/>
    <x v="2"/>
    <x v="0"/>
  </r>
  <r>
    <n v="794"/>
    <n v="51"/>
    <x v="381"/>
    <x v="8"/>
    <x v="4"/>
    <x v="0"/>
  </r>
  <r>
    <n v="161"/>
    <n v="36"/>
    <x v="382"/>
    <x v="8"/>
    <x v="2"/>
    <x v="0"/>
  </r>
  <r>
    <n v="544"/>
    <n v="34"/>
    <x v="383"/>
    <x v="6"/>
    <x v="4"/>
    <x v="0"/>
  </r>
  <r>
    <n v="688"/>
    <n v="30"/>
    <x v="384"/>
    <x v="2"/>
    <x v="3"/>
    <x v="0"/>
  </r>
  <r>
    <n v="948"/>
    <n v="38"/>
    <x v="385"/>
    <x v="16"/>
    <x v="3"/>
    <x v="2"/>
  </r>
  <r>
    <n v="917"/>
    <n v="32"/>
    <x v="386"/>
    <x v="18"/>
    <x v="5"/>
    <x v="2"/>
  </r>
  <r>
    <n v="7"/>
    <n v="53"/>
    <x v="387"/>
    <x v="8"/>
    <x v="4"/>
    <x v="0"/>
  </r>
  <r>
    <n v="975"/>
    <n v="33"/>
    <x v="388"/>
    <x v="9"/>
    <x v="2"/>
    <x v="0"/>
  </r>
  <r>
    <n v="606"/>
    <n v="22"/>
    <x v="389"/>
    <x v="8"/>
    <x v="4"/>
    <x v="0"/>
  </r>
  <r>
    <n v="887"/>
    <n v="34"/>
    <x v="390"/>
    <x v="8"/>
    <x v="1"/>
    <x v="0"/>
  </r>
  <r>
    <n v="579"/>
    <n v="27"/>
    <x v="391"/>
    <x v="2"/>
    <x v="3"/>
    <x v="0"/>
  </r>
  <r>
    <n v="771"/>
    <n v="26"/>
    <x v="392"/>
    <x v="8"/>
    <x v="5"/>
    <x v="0"/>
  </r>
  <r>
    <n v="587"/>
    <n v="36"/>
    <x v="393"/>
    <x v="25"/>
    <x v="3"/>
    <x v="2"/>
  </r>
  <r>
    <n v="576"/>
    <n v="24"/>
    <x v="394"/>
    <x v="22"/>
    <x v="4"/>
    <x v="0"/>
  </r>
  <r>
    <n v="419"/>
    <n v="31"/>
    <x v="395"/>
    <x v="7"/>
    <x v="3"/>
    <x v="0"/>
  </r>
  <r>
    <n v="426"/>
    <n v="21"/>
    <x v="396"/>
    <x v="6"/>
    <x v="5"/>
    <x v="0"/>
  </r>
  <r>
    <n v="599"/>
    <n v="31"/>
    <x v="397"/>
    <x v="6"/>
    <x v="3"/>
    <x v="0"/>
  </r>
  <r>
    <n v="238"/>
    <n v="61"/>
    <x v="398"/>
    <x v="7"/>
    <x v="1"/>
    <x v="0"/>
  </r>
  <r>
    <n v="469"/>
    <n v="26"/>
    <x v="399"/>
    <x v="19"/>
    <x v="1"/>
    <x v="0"/>
  </r>
  <r>
    <n v="425"/>
    <n v="25"/>
    <x v="400"/>
    <x v="16"/>
    <x v="4"/>
    <x v="2"/>
  </r>
  <r>
    <n v="199"/>
    <n v="36"/>
    <x v="401"/>
    <x v="8"/>
    <x v="5"/>
    <x v="0"/>
  </r>
  <r>
    <n v="453"/>
    <n v="34"/>
    <x v="402"/>
    <x v="16"/>
    <x v="4"/>
    <x v="2"/>
  </r>
  <r>
    <n v="689"/>
    <n v="35"/>
    <x v="403"/>
    <x v="25"/>
    <x v="2"/>
    <x v="2"/>
  </r>
  <r>
    <n v="788"/>
    <n v="38"/>
    <x v="404"/>
    <x v="0"/>
    <x v="5"/>
    <x v="0"/>
  </r>
  <r>
    <n v="264"/>
    <n v="57"/>
    <x v="405"/>
    <x v="16"/>
    <x v="6"/>
    <x v="2"/>
  </r>
  <r>
    <n v="316"/>
    <n v="31"/>
    <x v="406"/>
    <x v="2"/>
    <x v="4"/>
    <x v="0"/>
  </r>
  <r>
    <n v="300"/>
    <n v="32"/>
    <x v="407"/>
    <x v="7"/>
    <x v="4"/>
    <x v="0"/>
  </r>
  <r>
    <n v="427"/>
    <n v="29"/>
    <x v="408"/>
    <x v="17"/>
    <x v="2"/>
    <x v="0"/>
  </r>
  <r>
    <n v="139"/>
    <n v="35"/>
    <x v="409"/>
    <x v="22"/>
    <x v="2"/>
    <x v="0"/>
  </r>
  <r>
    <n v="594"/>
    <n v="20"/>
    <x v="410"/>
    <x v="8"/>
    <x v="3"/>
    <x v="0"/>
  </r>
  <r>
    <n v="823"/>
    <n v="41"/>
    <x v="411"/>
    <x v="2"/>
    <x v="4"/>
    <x v="0"/>
  </r>
  <r>
    <n v="133"/>
    <n v="27"/>
    <x v="412"/>
    <x v="22"/>
    <x v="4"/>
    <x v="0"/>
  </r>
  <r>
    <n v="276"/>
    <n v="32"/>
    <x v="413"/>
    <x v="25"/>
    <x v="2"/>
    <x v="2"/>
  </r>
  <r>
    <n v="513"/>
    <n v="26"/>
    <x v="414"/>
    <x v="22"/>
    <x v="1"/>
    <x v="0"/>
  </r>
  <r>
    <n v="257"/>
    <n v="35"/>
    <x v="415"/>
    <x v="8"/>
    <x v="2"/>
    <x v="0"/>
  </r>
  <r>
    <n v="456"/>
    <n v="29"/>
    <x v="416"/>
    <x v="8"/>
    <x v="5"/>
    <x v="0"/>
  </r>
  <r>
    <n v="787"/>
    <n v="40"/>
    <x v="417"/>
    <x v="29"/>
    <x v="2"/>
    <x v="0"/>
  </r>
  <r>
    <n v="608"/>
    <n v="50"/>
    <x v="418"/>
    <x v="2"/>
    <x v="2"/>
    <x v="0"/>
  </r>
  <r>
    <n v="454"/>
    <n v="35"/>
    <x v="419"/>
    <x v="8"/>
    <x v="5"/>
    <x v="0"/>
  </r>
  <r>
    <n v="271"/>
    <n v="32"/>
    <x v="420"/>
    <x v="6"/>
    <x v="3"/>
    <x v="0"/>
  </r>
  <r>
    <n v="324"/>
    <n v="28"/>
    <x v="421"/>
    <x v="6"/>
    <x v="4"/>
    <x v="0"/>
  </r>
  <r>
    <n v="22"/>
    <n v="44"/>
    <x v="422"/>
    <x v="4"/>
    <x v="2"/>
    <x v="2"/>
  </r>
  <r>
    <n v="532"/>
    <n v="28"/>
    <x v="423"/>
    <x v="22"/>
    <x v="3"/>
    <x v="0"/>
  </r>
  <r>
    <n v="692"/>
    <n v="25"/>
    <x v="423"/>
    <x v="22"/>
    <x v="7"/>
    <x v="0"/>
  </r>
  <r>
    <n v="443"/>
    <n v="29"/>
    <x v="424"/>
    <x v="21"/>
    <x v="0"/>
    <x v="0"/>
  </r>
  <r>
    <n v="901"/>
    <n v="43"/>
    <x v="425"/>
    <x v="30"/>
    <x v="3"/>
    <x v="0"/>
  </r>
  <r>
    <n v="98"/>
    <n v="34"/>
    <x v="426"/>
    <x v="6"/>
    <x v="1"/>
    <x v="0"/>
  </r>
  <r>
    <n v="226"/>
    <n v="27"/>
    <x v="427"/>
    <x v="2"/>
    <x v="7"/>
    <x v="0"/>
  </r>
  <r>
    <n v="840"/>
    <n v="46"/>
    <x v="428"/>
    <x v="8"/>
    <x v="2"/>
    <x v="0"/>
  </r>
  <r>
    <n v="897"/>
    <n v="28"/>
    <x v="429"/>
    <x v="7"/>
    <x v="2"/>
    <x v="0"/>
  </r>
  <r>
    <n v="734"/>
    <n v="28"/>
    <x v="430"/>
    <x v="8"/>
    <x v="5"/>
    <x v="0"/>
  </r>
  <r>
    <n v="625"/>
    <n v="65"/>
    <x v="431"/>
    <x v="6"/>
    <x v="2"/>
    <x v="0"/>
  </r>
  <r>
    <n v="675"/>
    <n v="41"/>
    <x v="432"/>
    <x v="7"/>
    <x v="1"/>
    <x v="0"/>
  </r>
  <r>
    <n v="417"/>
    <n v="33"/>
    <x v="433"/>
    <x v="16"/>
    <x v="3"/>
    <x v="2"/>
  </r>
  <r>
    <n v="397"/>
    <n v="55"/>
    <x v="434"/>
    <x v="16"/>
    <x v="4"/>
    <x v="2"/>
  </r>
  <r>
    <n v="568"/>
    <n v="34"/>
    <x v="434"/>
    <x v="8"/>
    <x v="2"/>
    <x v="0"/>
  </r>
  <r>
    <n v="177"/>
    <n v="42"/>
    <x v="435"/>
    <x v="16"/>
    <x v="4"/>
    <x v="2"/>
  </r>
  <r>
    <n v="448"/>
    <n v="35"/>
    <x v="436"/>
    <x v="31"/>
    <x v="2"/>
    <x v="2"/>
  </r>
  <r>
    <n v="725"/>
    <n v="21"/>
    <x v="437"/>
    <x v="14"/>
    <x v="3"/>
    <x v="0"/>
  </r>
  <r>
    <n v="477"/>
    <n v="24"/>
    <x v="438"/>
    <x v="5"/>
    <x v="5"/>
    <x v="0"/>
  </r>
  <r>
    <n v="979"/>
    <n v="47"/>
    <x v="439"/>
    <x v="8"/>
    <x v="3"/>
    <x v="0"/>
  </r>
  <r>
    <n v="705"/>
    <n v="32"/>
    <x v="440"/>
    <x v="14"/>
    <x v="1"/>
    <x v="0"/>
  </r>
  <r>
    <n v="240"/>
    <n v="39"/>
    <x v="441"/>
    <x v="9"/>
    <x v="2"/>
    <x v="0"/>
  </r>
  <r>
    <n v="967"/>
    <n v="23"/>
    <x v="442"/>
    <x v="14"/>
    <x v="2"/>
    <x v="0"/>
  </r>
  <r>
    <n v="299"/>
    <n v="43"/>
    <x v="443"/>
    <x v="6"/>
    <x v="4"/>
    <x v="0"/>
  </r>
  <r>
    <n v="747"/>
    <n v="23"/>
    <x v="444"/>
    <x v="22"/>
    <x v="3"/>
    <x v="0"/>
  </r>
  <r>
    <n v="232"/>
    <n v="51"/>
    <x v="445"/>
    <x v="25"/>
    <x v="3"/>
    <x v="2"/>
  </r>
  <r>
    <n v="704"/>
    <n v="41"/>
    <x v="446"/>
    <x v="9"/>
    <x v="1"/>
    <x v="0"/>
  </r>
  <r>
    <n v="744"/>
    <n v="22"/>
    <x v="447"/>
    <x v="8"/>
    <x v="4"/>
    <x v="0"/>
  </r>
  <r>
    <n v="713"/>
    <n v="46"/>
    <x v="448"/>
    <x v="7"/>
    <x v="5"/>
    <x v="0"/>
  </r>
  <r>
    <n v="365"/>
    <n v="25"/>
    <x v="449"/>
    <x v="6"/>
    <x v="4"/>
    <x v="0"/>
  </r>
  <r>
    <n v="765"/>
    <n v="27"/>
    <x v="450"/>
    <x v="8"/>
    <x v="3"/>
    <x v="0"/>
  </r>
  <r>
    <n v="144"/>
    <n v="22"/>
    <x v="451"/>
    <x v="6"/>
    <x v="4"/>
    <x v="0"/>
  </r>
  <r>
    <n v="105"/>
    <n v="26"/>
    <x v="452"/>
    <x v="16"/>
    <x v="5"/>
    <x v="2"/>
  </r>
  <r>
    <n v="891"/>
    <n v="43"/>
    <x v="453"/>
    <x v="14"/>
    <x v="1"/>
    <x v="0"/>
  </r>
  <r>
    <n v="863"/>
    <n v="35"/>
    <x v="454"/>
    <x v="8"/>
    <x v="2"/>
    <x v="0"/>
  </r>
  <r>
    <n v="978"/>
    <n v="42"/>
    <x v="455"/>
    <x v="6"/>
    <x v="1"/>
    <x v="0"/>
  </r>
  <r>
    <n v="17"/>
    <n v="53"/>
    <x v="456"/>
    <x v="8"/>
    <x v="2"/>
    <x v="0"/>
  </r>
  <r>
    <n v="29"/>
    <n v="34"/>
    <x v="457"/>
    <x v="31"/>
    <x v="2"/>
    <x v="2"/>
  </r>
  <r>
    <n v="360"/>
    <n v="23"/>
    <x v="458"/>
    <x v="9"/>
    <x v="4"/>
    <x v="0"/>
  </r>
  <r>
    <n v="395"/>
    <n v="31"/>
    <x v="458"/>
    <x v="25"/>
    <x v="4"/>
    <x v="2"/>
  </r>
  <r>
    <n v="277"/>
    <n v="26"/>
    <x v="459"/>
    <x v="6"/>
    <x v="2"/>
    <x v="0"/>
  </r>
  <r>
    <n v="964"/>
    <n v="35"/>
    <x v="460"/>
    <x v="8"/>
    <x v="2"/>
    <x v="0"/>
  </r>
  <r>
    <n v="70"/>
    <n v="25"/>
    <x v="461"/>
    <x v="2"/>
    <x v="2"/>
    <x v="0"/>
  </r>
  <r>
    <n v="995"/>
    <n v="50"/>
    <x v="462"/>
    <x v="16"/>
    <x v="3"/>
    <x v="2"/>
  </r>
  <r>
    <n v="867"/>
    <n v="27"/>
    <x v="463"/>
    <x v="6"/>
    <x v="2"/>
    <x v="0"/>
  </r>
  <r>
    <n v="584"/>
    <n v="33"/>
    <x v="464"/>
    <x v="2"/>
    <x v="7"/>
    <x v="0"/>
  </r>
  <r>
    <n v="679"/>
    <n v="64"/>
    <x v="464"/>
    <x v="8"/>
    <x v="2"/>
    <x v="0"/>
  </r>
  <r>
    <n v="831"/>
    <n v="44"/>
    <x v="465"/>
    <x v="8"/>
    <x v="1"/>
    <x v="0"/>
  </r>
  <r>
    <n v="120"/>
    <n v="36"/>
    <x v="466"/>
    <x v="16"/>
    <x v="3"/>
    <x v="2"/>
  </r>
  <r>
    <n v="507"/>
    <n v="36"/>
    <x v="467"/>
    <x v="22"/>
    <x v="5"/>
    <x v="0"/>
  </r>
  <r>
    <n v="919"/>
    <n v="33"/>
    <x v="468"/>
    <x v="8"/>
    <x v="4"/>
    <x v="0"/>
  </r>
  <r>
    <n v="962"/>
    <n v="47"/>
    <x v="469"/>
    <x v="7"/>
    <x v="3"/>
    <x v="0"/>
  </r>
  <r>
    <n v="398"/>
    <n v="46"/>
    <x v="470"/>
    <x v="2"/>
    <x v="4"/>
    <x v="0"/>
  </r>
  <r>
    <n v="655"/>
    <n v="35"/>
    <x v="471"/>
    <x v="8"/>
    <x v="5"/>
    <x v="0"/>
  </r>
  <r>
    <n v="99"/>
    <n v="36"/>
    <x v="472"/>
    <x v="2"/>
    <x v="2"/>
    <x v="0"/>
  </r>
  <r>
    <n v="41"/>
    <n v="30"/>
    <x v="473"/>
    <x v="9"/>
    <x v="2"/>
    <x v="0"/>
  </r>
  <r>
    <n v="51"/>
    <n v="29"/>
    <x v="473"/>
    <x v="8"/>
    <x v="4"/>
    <x v="0"/>
  </r>
  <r>
    <n v="357"/>
    <n v="49"/>
    <x v="474"/>
    <x v="16"/>
    <x v="2"/>
    <x v="2"/>
  </r>
  <r>
    <n v="601"/>
    <n v="45"/>
    <x v="475"/>
    <x v="31"/>
    <x v="2"/>
    <x v="2"/>
  </r>
  <r>
    <n v="835"/>
    <n v="25"/>
    <x v="476"/>
    <x v="22"/>
    <x v="2"/>
    <x v="0"/>
  </r>
  <r>
    <n v="389"/>
    <n v="27"/>
    <x v="477"/>
    <x v="22"/>
    <x v="1"/>
    <x v="0"/>
  </r>
  <r>
    <n v="741"/>
    <n v="32"/>
    <x v="478"/>
    <x v="8"/>
    <x v="3"/>
    <x v="0"/>
  </r>
  <r>
    <n v="102"/>
    <n v="24"/>
    <x v="479"/>
    <x v="2"/>
    <x v="2"/>
    <x v="0"/>
  </r>
  <r>
    <n v="377"/>
    <n v="34"/>
    <x v="480"/>
    <x v="6"/>
    <x v="2"/>
    <x v="0"/>
  </r>
  <r>
    <n v="536"/>
    <n v="33"/>
    <x v="481"/>
    <x v="7"/>
    <x v="6"/>
    <x v="0"/>
  </r>
  <r>
    <n v="85"/>
    <n v="52"/>
    <x v="482"/>
    <x v="18"/>
    <x v="2"/>
    <x v="2"/>
  </r>
  <r>
    <n v="653"/>
    <n v="45"/>
    <x v="483"/>
    <x v="8"/>
    <x v="3"/>
    <x v="0"/>
  </r>
  <r>
    <n v="529"/>
    <n v="31"/>
    <x v="484"/>
    <x v="2"/>
    <x v="2"/>
    <x v="0"/>
  </r>
  <r>
    <n v="796"/>
    <n v="22"/>
    <x v="485"/>
    <x v="25"/>
    <x v="4"/>
    <x v="2"/>
  </r>
  <r>
    <n v="47"/>
    <n v="39"/>
    <x v="486"/>
    <x v="2"/>
    <x v="2"/>
    <x v="0"/>
  </r>
  <r>
    <n v="413"/>
    <n v="42"/>
    <x v="487"/>
    <x v="16"/>
    <x v="1"/>
    <x v="2"/>
  </r>
  <r>
    <n v="145"/>
    <n v="23"/>
    <x v="488"/>
    <x v="7"/>
    <x v="4"/>
    <x v="0"/>
  </r>
  <r>
    <n v="695"/>
    <n v="28"/>
    <x v="489"/>
    <x v="8"/>
    <x v="2"/>
    <x v="0"/>
  </r>
  <r>
    <n v="682"/>
    <n v="37"/>
    <x v="490"/>
    <x v="16"/>
    <x v="2"/>
    <x v="2"/>
  </r>
  <r>
    <n v="557"/>
    <n v="28"/>
    <x v="491"/>
    <x v="6"/>
    <x v="3"/>
    <x v="0"/>
  </r>
  <r>
    <n v="531"/>
    <n v="32"/>
    <x v="492"/>
    <x v="2"/>
    <x v="6"/>
    <x v="0"/>
  </r>
  <r>
    <n v="515"/>
    <n v="54"/>
    <x v="493"/>
    <x v="8"/>
    <x v="3"/>
    <x v="0"/>
  </r>
  <r>
    <n v="252"/>
    <n v="46"/>
    <x v="494"/>
    <x v="16"/>
    <x v="4"/>
    <x v="2"/>
  </r>
  <r>
    <n v="89"/>
    <n v="30"/>
    <x v="495"/>
    <x v="6"/>
    <x v="3"/>
    <x v="0"/>
  </r>
  <r>
    <n v="363"/>
    <n v="36"/>
    <x v="496"/>
    <x v="16"/>
    <x v="3"/>
    <x v="2"/>
  </r>
  <r>
    <n v="590"/>
    <n v="60"/>
    <x v="497"/>
    <x v="16"/>
    <x v="4"/>
    <x v="2"/>
  </r>
  <r>
    <n v="23"/>
    <n v="48"/>
    <x v="498"/>
    <x v="18"/>
    <x v="3"/>
    <x v="2"/>
  </r>
  <r>
    <n v="663"/>
    <n v="50"/>
    <x v="498"/>
    <x v="7"/>
    <x v="4"/>
    <x v="0"/>
  </r>
  <r>
    <n v="386"/>
    <n v="25"/>
    <x v="499"/>
    <x v="6"/>
    <x v="2"/>
    <x v="0"/>
  </r>
  <r>
    <n v="851"/>
    <n v="33"/>
    <x v="500"/>
    <x v="21"/>
    <x v="3"/>
    <x v="0"/>
  </r>
  <r>
    <n v="55"/>
    <n v="57"/>
    <x v="501"/>
    <x v="2"/>
    <x v="3"/>
    <x v="0"/>
  </r>
  <r>
    <n v="774"/>
    <n v="52"/>
    <x v="502"/>
    <x v="8"/>
    <x v="2"/>
    <x v="0"/>
  </r>
  <r>
    <n v="866"/>
    <n v="20"/>
    <x v="503"/>
    <x v="22"/>
    <x v="4"/>
    <x v="0"/>
  </r>
  <r>
    <n v="763"/>
    <n v="24"/>
    <x v="504"/>
    <x v="16"/>
    <x v="2"/>
    <x v="2"/>
  </r>
  <r>
    <n v="381"/>
    <n v="39"/>
    <x v="505"/>
    <x v="21"/>
    <x v="4"/>
    <x v="0"/>
  </r>
  <r>
    <n v="865"/>
    <n v="25"/>
    <x v="506"/>
    <x v="18"/>
    <x v="4"/>
    <x v="2"/>
  </r>
  <r>
    <n v="407"/>
    <n v="43"/>
    <x v="507"/>
    <x v="8"/>
    <x v="5"/>
    <x v="0"/>
  </r>
  <r>
    <n v="899"/>
    <n v="33"/>
    <x v="508"/>
    <x v="22"/>
    <x v="4"/>
    <x v="0"/>
  </r>
  <r>
    <n v="883"/>
    <n v="36"/>
    <x v="509"/>
    <x v="9"/>
    <x v="3"/>
    <x v="0"/>
  </r>
  <r>
    <n v="67"/>
    <n v="29"/>
    <x v="510"/>
    <x v="16"/>
    <x v="2"/>
    <x v="2"/>
  </r>
  <r>
    <n v="893"/>
    <n v="38"/>
    <x v="510"/>
    <x v="16"/>
    <x v="3"/>
    <x v="2"/>
  </r>
  <r>
    <n v="862"/>
    <n v="28"/>
    <x v="511"/>
    <x v="6"/>
    <x v="1"/>
    <x v="0"/>
  </r>
  <r>
    <n v="253"/>
    <n v="24"/>
    <x v="512"/>
    <x v="9"/>
    <x v="3"/>
    <x v="0"/>
  </r>
  <r>
    <n v="258"/>
    <n v="29"/>
    <x v="513"/>
    <x v="16"/>
    <x v="2"/>
    <x v="2"/>
  </r>
  <r>
    <n v="373"/>
    <n v="23"/>
    <x v="514"/>
    <x v="18"/>
    <x v="4"/>
    <x v="2"/>
  </r>
  <r>
    <n v="952"/>
    <n v="24"/>
    <x v="515"/>
    <x v="2"/>
    <x v="1"/>
    <x v="0"/>
  </r>
  <r>
    <n v="914"/>
    <n v="28"/>
    <x v="516"/>
    <x v="20"/>
    <x v="1"/>
    <x v="2"/>
  </r>
  <r>
    <n v="233"/>
    <n v="35"/>
    <x v="517"/>
    <x v="16"/>
    <x v="2"/>
    <x v="2"/>
  </r>
  <r>
    <n v="435"/>
    <n v="25"/>
    <x v="518"/>
    <x v="25"/>
    <x v="4"/>
    <x v="2"/>
  </r>
  <r>
    <n v="21"/>
    <n v="48"/>
    <x v="519"/>
    <x v="25"/>
    <x v="3"/>
    <x v="2"/>
  </r>
  <r>
    <n v="585"/>
    <n v="52"/>
    <x v="520"/>
    <x v="16"/>
    <x v="3"/>
    <x v="2"/>
  </r>
  <r>
    <n v="118"/>
    <n v="27"/>
    <x v="521"/>
    <x v="18"/>
    <x v="4"/>
    <x v="2"/>
  </r>
  <r>
    <n v="762"/>
    <n v="24"/>
    <x v="522"/>
    <x v="6"/>
    <x v="4"/>
    <x v="0"/>
  </r>
  <r>
    <n v="495"/>
    <n v="39"/>
    <x v="523"/>
    <x v="16"/>
    <x v="3"/>
    <x v="2"/>
  </r>
  <r>
    <n v="126"/>
    <n v="30"/>
    <x v="524"/>
    <x v="16"/>
    <x v="3"/>
    <x v="2"/>
  </r>
  <r>
    <n v="710"/>
    <n v="37"/>
    <x v="525"/>
    <x v="25"/>
    <x v="2"/>
    <x v="2"/>
  </r>
  <r>
    <n v="627"/>
    <n v="41"/>
    <x v="526"/>
    <x v="4"/>
    <x v="4"/>
    <x v="2"/>
  </r>
  <r>
    <n v="194"/>
    <n v="29"/>
    <x v="527"/>
    <x v="4"/>
    <x v="2"/>
    <x v="2"/>
  </r>
  <r>
    <n v="337"/>
    <n v="23"/>
    <x v="528"/>
    <x v="32"/>
    <x v="2"/>
    <x v="0"/>
  </r>
  <r>
    <n v="38"/>
    <n v="37"/>
    <x v="529"/>
    <x v="6"/>
    <x v="2"/>
    <x v="0"/>
  </r>
  <r>
    <n v="3"/>
    <n v="49"/>
    <x v="530"/>
    <x v="16"/>
    <x v="6"/>
    <x v="2"/>
  </r>
  <r>
    <n v="674"/>
    <n v="24"/>
    <x v="531"/>
    <x v="4"/>
    <x v="3"/>
    <x v="2"/>
  </r>
  <r>
    <n v="50"/>
    <n v="28"/>
    <x v="532"/>
    <x v="16"/>
    <x v="2"/>
    <x v="2"/>
  </r>
  <r>
    <n v="25"/>
    <n v="26"/>
    <x v="533"/>
    <x v="18"/>
    <x v="4"/>
    <x v="2"/>
  </r>
  <r>
    <n v="173"/>
    <n v="34"/>
    <x v="534"/>
    <x v="8"/>
    <x v="4"/>
    <x v="0"/>
  </r>
  <r>
    <n v="938"/>
    <n v="30"/>
    <x v="535"/>
    <x v="4"/>
    <x v="2"/>
    <x v="2"/>
  </r>
  <r>
    <n v="434"/>
    <n v="33"/>
    <x v="536"/>
    <x v="8"/>
    <x v="7"/>
    <x v="0"/>
  </r>
  <r>
    <n v="609"/>
    <n v="33"/>
    <x v="537"/>
    <x v="6"/>
    <x v="2"/>
    <x v="0"/>
  </r>
  <r>
    <n v="406"/>
    <n v="22"/>
    <x v="538"/>
    <x v="8"/>
    <x v="2"/>
    <x v="0"/>
  </r>
  <r>
    <n v="586"/>
    <n v="20"/>
    <x v="538"/>
    <x v="6"/>
    <x v="4"/>
    <x v="0"/>
  </r>
  <r>
    <n v="542"/>
    <n v="60"/>
    <x v="539"/>
    <x v="8"/>
    <x v="3"/>
    <x v="0"/>
  </r>
  <r>
    <n v="255"/>
    <n v="24"/>
    <x v="540"/>
    <x v="25"/>
    <x v="4"/>
    <x v="2"/>
  </r>
  <r>
    <n v="422"/>
    <n v="30"/>
    <x v="541"/>
    <x v="16"/>
    <x v="5"/>
    <x v="2"/>
  </r>
  <r>
    <n v="985"/>
    <n v="30"/>
    <x v="541"/>
    <x v="8"/>
    <x v="4"/>
    <x v="0"/>
  </r>
  <r>
    <n v="547"/>
    <n v="37"/>
    <x v="542"/>
    <x v="8"/>
    <x v="3"/>
    <x v="0"/>
  </r>
  <r>
    <n v="97"/>
    <n v="61"/>
    <x v="543"/>
    <x v="16"/>
    <x v="6"/>
    <x v="2"/>
  </r>
  <r>
    <n v="924"/>
    <n v="30"/>
    <x v="544"/>
    <x v="16"/>
    <x v="3"/>
    <x v="2"/>
  </r>
  <r>
    <n v="554"/>
    <n v="27"/>
    <x v="545"/>
    <x v="16"/>
    <x v="3"/>
    <x v="2"/>
  </r>
  <r>
    <n v="732"/>
    <n v="21"/>
    <x v="546"/>
    <x v="8"/>
    <x v="2"/>
    <x v="0"/>
  </r>
  <r>
    <n v="134"/>
    <n v="47"/>
    <x v="547"/>
    <x v="6"/>
    <x v="4"/>
    <x v="0"/>
  </r>
  <r>
    <n v="634"/>
    <n v="19"/>
    <x v="548"/>
    <x v="25"/>
    <x v="4"/>
    <x v="2"/>
  </r>
  <r>
    <n v="626"/>
    <n v="35"/>
    <x v="549"/>
    <x v="22"/>
    <x v="2"/>
    <x v="0"/>
  </r>
  <r>
    <n v="75"/>
    <n v="40"/>
    <x v="550"/>
    <x v="2"/>
    <x v="6"/>
    <x v="0"/>
  </r>
  <r>
    <n v="411"/>
    <n v="20"/>
    <x v="551"/>
    <x v="8"/>
    <x v="2"/>
    <x v="0"/>
  </r>
  <r>
    <n v="592"/>
    <n v="42"/>
    <x v="552"/>
    <x v="8"/>
    <x v="3"/>
    <x v="0"/>
  </r>
  <r>
    <n v="179"/>
    <n v="31"/>
    <x v="553"/>
    <x v="16"/>
    <x v="2"/>
    <x v="2"/>
  </r>
  <r>
    <n v="59"/>
    <n v="23"/>
    <x v="554"/>
    <x v="6"/>
    <x v="3"/>
    <x v="0"/>
  </r>
  <r>
    <n v="394"/>
    <n v="31"/>
    <x v="555"/>
    <x v="4"/>
    <x v="2"/>
    <x v="2"/>
  </r>
  <r>
    <n v="63"/>
    <n v="61"/>
    <x v="556"/>
    <x v="2"/>
    <x v="1"/>
    <x v="0"/>
  </r>
  <r>
    <n v="465"/>
    <n v="34"/>
    <x v="557"/>
    <x v="6"/>
    <x v="1"/>
    <x v="0"/>
  </r>
  <r>
    <n v="843"/>
    <n v="23"/>
    <x v="558"/>
    <x v="6"/>
    <x v="7"/>
    <x v="0"/>
  </r>
  <r>
    <n v="786"/>
    <n v="35"/>
    <x v="559"/>
    <x v="6"/>
    <x v="1"/>
    <x v="0"/>
  </r>
  <r>
    <n v="782"/>
    <n v="60"/>
    <x v="560"/>
    <x v="8"/>
    <x v="3"/>
    <x v="0"/>
  </r>
  <r>
    <n v="877"/>
    <n v="36"/>
    <x v="560"/>
    <x v="6"/>
    <x v="2"/>
    <x v="0"/>
  </r>
  <r>
    <n v="322"/>
    <n v="32"/>
    <x v="561"/>
    <x v="8"/>
    <x v="2"/>
    <x v="0"/>
  </r>
  <r>
    <n v="993"/>
    <n v="23"/>
    <x v="562"/>
    <x v="6"/>
    <x v="2"/>
    <x v="0"/>
  </r>
  <r>
    <n v="170"/>
    <n v="31"/>
    <x v="563"/>
    <x v="8"/>
    <x v="1"/>
    <x v="0"/>
  </r>
  <r>
    <n v="207"/>
    <n v="43"/>
    <x v="563"/>
    <x v="16"/>
    <x v="4"/>
    <x v="2"/>
  </r>
  <r>
    <n v="491"/>
    <n v="26"/>
    <x v="564"/>
    <x v="16"/>
    <x v="2"/>
    <x v="2"/>
  </r>
  <r>
    <n v="560"/>
    <n v="31"/>
    <x v="565"/>
    <x v="6"/>
    <x v="4"/>
    <x v="0"/>
  </r>
  <r>
    <n v="578"/>
    <n v="33"/>
    <x v="566"/>
    <x v="8"/>
    <x v="6"/>
    <x v="0"/>
  </r>
  <r>
    <n v="249"/>
    <n v="26"/>
    <x v="567"/>
    <x v="8"/>
    <x v="4"/>
    <x v="0"/>
  </r>
  <r>
    <n v="125"/>
    <n v="27"/>
    <x v="568"/>
    <x v="6"/>
    <x v="4"/>
    <x v="0"/>
  </r>
  <r>
    <n v="152"/>
    <n v="38"/>
    <x v="568"/>
    <x v="18"/>
    <x v="2"/>
    <x v="2"/>
  </r>
  <r>
    <n v="652"/>
    <n v="37"/>
    <x v="569"/>
    <x v="16"/>
    <x v="4"/>
    <x v="2"/>
  </r>
  <r>
    <n v="104"/>
    <n v="35"/>
    <x v="570"/>
    <x v="25"/>
    <x v="4"/>
    <x v="2"/>
  </r>
  <r>
    <n v="936"/>
    <n v="30"/>
    <x v="570"/>
    <x v="9"/>
    <x v="2"/>
    <x v="0"/>
  </r>
  <r>
    <n v="31"/>
    <n v="36"/>
    <x v="571"/>
    <x v="6"/>
    <x v="1"/>
    <x v="0"/>
  </r>
  <r>
    <n v="214"/>
    <n v="66"/>
    <x v="572"/>
    <x v="9"/>
    <x v="1"/>
    <x v="0"/>
  </r>
  <r>
    <n v="700"/>
    <n v="40"/>
    <x v="573"/>
    <x v="22"/>
    <x v="6"/>
    <x v="0"/>
  </r>
  <r>
    <n v="280"/>
    <n v="29"/>
    <x v="574"/>
    <x v="8"/>
    <x v="2"/>
    <x v="0"/>
  </r>
  <r>
    <n v="160"/>
    <n v="34"/>
    <x v="575"/>
    <x v="4"/>
    <x v="2"/>
    <x v="2"/>
  </r>
  <r>
    <n v="955"/>
    <n v="29"/>
    <x v="576"/>
    <x v="16"/>
    <x v="3"/>
    <x v="2"/>
  </r>
  <r>
    <n v="402"/>
    <n v="28"/>
    <x v="577"/>
    <x v="6"/>
    <x v="1"/>
    <x v="0"/>
  </r>
  <r>
    <n v="441"/>
    <n v="39"/>
    <x v="578"/>
    <x v="16"/>
    <x v="3"/>
    <x v="2"/>
  </r>
  <r>
    <n v="728"/>
    <n v="25"/>
    <x v="579"/>
    <x v="6"/>
    <x v="2"/>
    <x v="0"/>
  </r>
  <r>
    <n v="140"/>
    <n v="44"/>
    <x v="580"/>
    <x v="16"/>
    <x v="2"/>
    <x v="2"/>
  </r>
  <r>
    <n v="645"/>
    <n v="32"/>
    <x v="581"/>
    <x v="6"/>
    <x v="2"/>
    <x v="0"/>
  </r>
  <r>
    <n v="433"/>
    <n v="36"/>
    <x v="582"/>
    <x v="4"/>
    <x v="4"/>
    <x v="2"/>
  </r>
  <r>
    <n v="929"/>
    <n v="58"/>
    <x v="583"/>
    <x v="9"/>
    <x v="2"/>
    <x v="0"/>
  </r>
  <r>
    <n v="332"/>
    <n v="30"/>
    <x v="584"/>
    <x v="6"/>
    <x v="6"/>
    <x v="0"/>
  </r>
  <r>
    <n v="129"/>
    <n v="34"/>
    <x v="585"/>
    <x v="16"/>
    <x v="5"/>
    <x v="2"/>
  </r>
  <r>
    <n v="624"/>
    <n v="22"/>
    <x v="586"/>
    <x v="16"/>
    <x v="4"/>
    <x v="2"/>
  </r>
  <r>
    <n v="644"/>
    <n v="33"/>
    <x v="587"/>
    <x v="8"/>
    <x v="2"/>
    <x v="0"/>
  </r>
  <r>
    <n v="945"/>
    <n v="46"/>
    <x v="588"/>
    <x v="22"/>
    <x v="4"/>
    <x v="0"/>
  </r>
  <r>
    <n v="999"/>
    <n v="23"/>
    <x v="588"/>
    <x v="10"/>
    <x v="2"/>
    <x v="0"/>
  </r>
  <r>
    <n v="447"/>
    <n v="34"/>
    <x v="589"/>
    <x v="2"/>
    <x v="3"/>
    <x v="0"/>
  </r>
  <r>
    <n v="603"/>
    <n v="34"/>
    <x v="590"/>
    <x v="8"/>
    <x v="6"/>
    <x v="0"/>
  </r>
  <r>
    <n v="121"/>
    <n v="25"/>
    <x v="591"/>
    <x v="7"/>
    <x v="2"/>
    <x v="0"/>
  </r>
  <r>
    <n v="892"/>
    <n v="46"/>
    <x v="592"/>
    <x v="22"/>
    <x v="2"/>
    <x v="0"/>
  </r>
  <r>
    <n v="236"/>
    <n v="30"/>
    <x v="593"/>
    <x v="8"/>
    <x v="2"/>
    <x v="0"/>
  </r>
  <r>
    <n v="391"/>
    <n v="30"/>
    <x v="594"/>
    <x v="6"/>
    <x v="3"/>
    <x v="0"/>
  </r>
  <r>
    <n v="69"/>
    <n v="37"/>
    <x v="595"/>
    <x v="2"/>
    <x v="6"/>
    <x v="0"/>
  </r>
  <r>
    <n v="921"/>
    <n v="28"/>
    <x v="596"/>
    <x v="6"/>
    <x v="4"/>
    <x v="0"/>
  </r>
  <r>
    <n v="615"/>
    <n v="22"/>
    <x v="597"/>
    <x v="6"/>
    <x v="4"/>
    <x v="0"/>
  </r>
  <r>
    <n v="24"/>
    <n v="44"/>
    <x v="598"/>
    <x v="16"/>
    <x v="5"/>
    <x v="2"/>
  </r>
  <r>
    <n v="699"/>
    <n v="24"/>
    <x v="599"/>
    <x v="6"/>
    <x v="2"/>
    <x v="0"/>
  </r>
  <r>
    <n v="746"/>
    <n v="28"/>
    <x v="600"/>
    <x v="32"/>
    <x v="1"/>
    <x v="0"/>
  </r>
  <r>
    <n v="802"/>
    <n v="48"/>
    <x v="601"/>
    <x v="6"/>
    <x v="2"/>
    <x v="0"/>
  </r>
  <r>
    <n v="810"/>
    <n v="26"/>
    <x v="602"/>
    <x v="22"/>
    <x v="3"/>
    <x v="0"/>
  </r>
  <r>
    <n v="123"/>
    <n v="24"/>
    <x v="603"/>
    <x v="16"/>
    <x v="4"/>
    <x v="2"/>
  </r>
  <r>
    <n v="364"/>
    <n v="21"/>
    <x v="604"/>
    <x v="4"/>
    <x v="4"/>
    <x v="2"/>
  </r>
  <r>
    <n v="84"/>
    <n v="58"/>
    <x v="605"/>
    <x v="8"/>
    <x v="0"/>
    <x v="0"/>
  </r>
  <r>
    <n v="552"/>
    <n v="45"/>
    <x v="606"/>
    <x v="4"/>
    <x v="2"/>
    <x v="2"/>
  </r>
  <r>
    <n v="931"/>
    <n v="24"/>
    <x v="607"/>
    <x v="8"/>
    <x v="4"/>
    <x v="0"/>
  </r>
  <r>
    <n v="349"/>
    <n v="34"/>
    <x v="608"/>
    <x v="4"/>
    <x v="1"/>
    <x v="2"/>
  </r>
  <r>
    <n v="990"/>
    <n v="48"/>
    <x v="608"/>
    <x v="8"/>
    <x v="2"/>
    <x v="0"/>
  </r>
  <r>
    <n v="961"/>
    <n v="30"/>
    <x v="609"/>
    <x v="4"/>
    <x v="2"/>
    <x v="2"/>
  </r>
  <r>
    <n v="996"/>
    <n v="31"/>
    <x v="610"/>
    <x v="16"/>
    <x v="4"/>
    <x v="2"/>
  </r>
  <r>
    <n v="462"/>
    <n v="36"/>
    <x v="611"/>
    <x v="22"/>
    <x v="3"/>
    <x v="0"/>
  </r>
  <r>
    <n v="966"/>
    <n v="26"/>
    <x v="612"/>
    <x v="9"/>
    <x v="2"/>
    <x v="0"/>
  </r>
  <r>
    <n v="115"/>
    <n v="35"/>
    <x v="613"/>
    <x v="16"/>
    <x v="2"/>
    <x v="2"/>
  </r>
  <r>
    <n v="932"/>
    <n v="22"/>
    <x v="614"/>
    <x v="25"/>
    <x v="2"/>
    <x v="2"/>
  </r>
  <r>
    <n v="467"/>
    <n v="29"/>
    <x v="615"/>
    <x v="8"/>
    <x v="2"/>
    <x v="0"/>
  </r>
  <r>
    <n v="261"/>
    <n v="27"/>
    <x v="616"/>
    <x v="16"/>
    <x v="4"/>
    <x v="2"/>
  </r>
  <r>
    <n v="770"/>
    <n v="63"/>
    <x v="617"/>
    <x v="16"/>
    <x v="2"/>
    <x v="2"/>
  </r>
  <r>
    <n v="183"/>
    <n v="40"/>
    <x v="618"/>
    <x v="7"/>
    <x v="3"/>
    <x v="0"/>
  </r>
  <r>
    <n v="442"/>
    <n v="30"/>
    <x v="619"/>
    <x v="16"/>
    <x v="4"/>
    <x v="2"/>
  </r>
  <r>
    <n v="262"/>
    <n v="55"/>
    <x v="620"/>
    <x v="8"/>
    <x v="2"/>
    <x v="0"/>
  </r>
  <r>
    <n v="826"/>
    <n v="30"/>
    <x v="621"/>
    <x v="7"/>
    <x v="3"/>
    <x v="0"/>
  </r>
  <r>
    <n v="414"/>
    <n v="40"/>
    <x v="622"/>
    <x v="18"/>
    <x v="3"/>
    <x v="2"/>
  </r>
  <r>
    <n v="801"/>
    <n v="54"/>
    <x v="622"/>
    <x v="8"/>
    <x v="6"/>
    <x v="0"/>
  </r>
  <r>
    <n v="242"/>
    <n v="51"/>
    <x v="623"/>
    <x v="4"/>
    <x v="2"/>
    <x v="2"/>
  </r>
  <r>
    <n v="898"/>
    <n v="35"/>
    <x v="624"/>
    <x v="16"/>
    <x v="4"/>
    <x v="2"/>
  </r>
  <r>
    <n v="424"/>
    <n v="34"/>
    <x v="625"/>
    <x v="7"/>
    <x v="4"/>
    <x v="0"/>
  </r>
  <r>
    <n v="498"/>
    <n v="40"/>
    <x v="626"/>
    <x v="8"/>
    <x v="4"/>
    <x v="0"/>
  </r>
  <r>
    <n v="150"/>
    <n v="46"/>
    <x v="627"/>
    <x v="6"/>
    <x v="2"/>
    <x v="0"/>
  </r>
  <r>
    <n v="168"/>
    <n v="20"/>
    <x v="628"/>
    <x v="20"/>
    <x v="4"/>
    <x v="2"/>
  </r>
  <r>
    <n v="282"/>
    <n v="50"/>
    <x v="629"/>
    <x v="16"/>
    <x v="4"/>
    <x v="2"/>
  </r>
  <r>
    <n v="593"/>
    <n v="36"/>
    <x v="630"/>
    <x v="7"/>
    <x v="1"/>
    <x v="0"/>
  </r>
  <r>
    <n v="992"/>
    <n v="34"/>
    <x v="631"/>
    <x v="22"/>
    <x v="2"/>
    <x v="0"/>
  </r>
  <r>
    <n v="83"/>
    <n v="24"/>
    <x v="632"/>
    <x v="6"/>
    <x v="1"/>
    <x v="0"/>
  </r>
  <r>
    <n v="13"/>
    <n v="22"/>
    <x v="633"/>
    <x v="16"/>
    <x v="2"/>
    <x v="2"/>
  </r>
  <r>
    <n v="844"/>
    <n v="50"/>
    <x v="634"/>
    <x v="8"/>
    <x v="1"/>
    <x v="0"/>
  </r>
  <r>
    <n v="755"/>
    <n v="55"/>
    <x v="635"/>
    <x v="16"/>
    <x v="7"/>
    <x v="2"/>
  </r>
  <r>
    <n v="818"/>
    <n v="24"/>
    <x v="636"/>
    <x v="4"/>
    <x v="2"/>
    <x v="2"/>
  </r>
  <r>
    <n v="566"/>
    <n v="23"/>
    <x v="637"/>
    <x v="8"/>
    <x v="2"/>
    <x v="0"/>
  </r>
  <r>
    <n v="632"/>
    <n v="44"/>
    <x v="637"/>
    <x v="6"/>
    <x v="4"/>
    <x v="0"/>
  </r>
  <r>
    <n v="548"/>
    <n v="32"/>
    <x v="638"/>
    <x v="8"/>
    <x v="2"/>
    <x v="0"/>
  </r>
  <r>
    <n v="800"/>
    <n v="35"/>
    <x v="639"/>
    <x v="25"/>
    <x v="3"/>
    <x v="2"/>
  </r>
  <r>
    <n v="562"/>
    <n v="24"/>
    <x v="640"/>
    <x v="8"/>
    <x v="2"/>
    <x v="0"/>
  </r>
  <r>
    <n v="942"/>
    <n v="31"/>
    <x v="640"/>
    <x v="18"/>
    <x v="3"/>
    <x v="2"/>
  </r>
  <r>
    <n v="235"/>
    <n v="42"/>
    <x v="641"/>
    <x v="28"/>
    <x v="2"/>
    <x v="2"/>
  </r>
  <r>
    <n v="306"/>
    <n v="33"/>
    <x v="642"/>
    <x v="4"/>
    <x v="4"/>
    <x v="2"/>
  </r>
  <r>
    <n v="366"/>
    <n v="36"/>
    <x v="643"/>
    <x v="16"/>
    <x v="1"/>
    <x v="2"/>
  </r>
  <r>
    <n v="681"/>
    <n v="56"/>
    <x v="644"/>
    <x v="4"/>
    <x v="6"/>
    <x v="2"/>
  </r>
  <r>
    <n v="62"/>
    <n v="50"/>
    <x v="645"/>
    <x v="22"/>
    <x v="2"/>
    <x v="0"/>
  </r>
  <r>
    <n v="541"/>
    <n v="23"/>
    <x v="646"/>
    <x v="16"/>
    <x v="2"/>
    <x v="2"/>
  </r>
  <r>
    <n v="268"/>
    <n v="38"/>
    <x v="647"/>
    <x v="8"/>
    <x v="2"/>
    <x v="0"/>
  </r>
  <r>
    <n v="949"/>
    <n v="43"/>
    <x v="647"/>
    <x v="6"/>
    <x v="4"/>
    <x v="0"/>
  </r>
  <r>
    <n v="527"/>
    <n v="31"/>
    <x v="648"/>
    <x v="22"/>
    <x v="6"/>
    <x v="0"/>
  </r>
  <r>
    <n v="622"/>
    <n v="32"/>
    <x v="649"/>
    <x v="6"/>
    <x v="3"/>
    <x v="0"/>
  </r>
  <r>
    <n v="76"/>
    <n v="66"/>
    <x v="650"/>
    <x v="16"/>
    <x v="5"/>
    <x v="2"/>
  </r>
  <r>
    <n v="328"/>
    <n v="34"/>
    <x v="651"/>
    <x v="8"/>
    <x v="3"/>
    <x v="0"/>
  </r>
  <r>
    <n v="340"/>
    <n v="31"/>
    <x v="652"/>
    <x v="18"/>
    <x v="4"/>
    <x v="2"/>
  </r>
  <r>
    <n v="284"/>
    <n v="63"/>
    <x v="653"/>
    <x v="22"/>
    <x v="4"/>
    <x v="0"/>
  </r>
  <r>
    <n v="400"/>
    <n v="43"/>
    <x v="654"/>
    <x v="8"/>
    <x v="2"/>
    <x v="0"/>
  </r>
  <r>
    <n v="971"/>
    <n v="22"/>
    <x v="655"/>
    <x v="22"/>
    <x v="7"/>
    <x v="0"/>
  </r>
  <r>
    <n v="450"/>
    <n v="61"/>
    <x v="656"/>
    <x v="22"/>
    <x v="7"/>
    <x v="0"/>
  </r>
  <r>
    <n v="718"/>
    <n v="32"/>
    <x v="657"/>
    <x v="6"/>
    <x v="2"/>
    <x v="0"/>
  </r>
  <r>
    <n v="528"/>
    <n v="42"/>
    <x v="658"/>
    <x v="28"/>
    <x v="2"/>
    <x v="2"/>
  </r>
  <r>
    <n v="533"/>
    <n v="41"/>
    <x v="658"/>
    <x v="16"/>
    <x v="5"/>
    <x v="2"/>
  </r>
  <r>
    <n v="196"/>
    <n v="34"/>
    <x v="659"/>
    <x v="25"/>
    <x v="6"/>
    <x v="2"/>
  </r>
  <r>
    <n v="935"/>
    <n v="23"/>
    <x v="660"/>
    <x v="16"/>
    <x v="2"/>
    <x v="2"/>
  </r>
  <r>
    <n v="205"/>
    <n v="38"/>
    <x v="661"/>
    <x v="16"/>
    <x v="3"/>
    <x v="2"/>
  </r>
  <r>
    <n v="315"/>
    <n v="29"/>
    <x v="662"/>
    <x v="28"/>
    <x v="3"/>
    <x v="2"/>
  </r>
  <r>
    <n v="639"/>
    <n v="34"/>
    <x v="663"/>
    <x v="16"/>
    <x v="2"/>
    <x v="2"/>
  </r>
  <r>
    <n v="436"/>
    <n v="25"/>
    <x v="664"/>
    <x v="16"/>
    <x v="2"/>
    <x v="2"/>
  </r>
  <r>
    <n v="775"/>
    <n v="66"/>
    <x v="665"/>
    <x v="16"/>
    <x v="3"/>
    <x v="2"/>
  </r>
  <r>
    <n v="229"/>
    <n v="22"/>
    <x v="666"/>
    <x v="25"/>
    <x v="2"/>
    <x v="2"/>
  </r>
  <r>
    <n v="480"/>
    <n v="44"/>
    <x v="666"/>
    <x v="22"/>
    <x v="4"/>
    <x v="0"/>
  </r>
  <r>
    <n v="683"/>
    <n v="33"/>
    <x v="666"/>
    <x v="22"/>
    <x v="2"/>
    <x v="0"/>
  </r>
  <r>
    <n v="35"/>
    <n v="33"/>
    <x v="667"/>
    <x v="16"/>
    <x v="4"/>
    <x v="2"/>
  </r>
  <r>
    <n v="856"/>
    <n v="33"/>
    <x v="667"/>
    <x v="8"/>
    <x v="3"/>
    <x v="0"/>
  </r>
  <r>
    <n v="401"/>
    <n v="39"/>
    <x v="668"/>
    <x v="6"/>
    <x v="2"/>
    <x v="0"/>
  </r>
  <r>
    <n v="853"/>
    <n v="35"/>
    <x v="669"/>
    <x v="22"/>
    <x v="2"/>
    <x v="0"/>
  </r>
  <r>
    <n v="101"/>
    <n v="41"/>
    <x v="670"/>
    <x v="8"/>
    <x v="3"/>
    <x v="0"/>
  </r>
  <r>
    <n v="346"/>
    <n v="43"/>
    <x v="671"/>
    <x v="22"/>
    <x v="2"/>
    <x v="0"/>
  </r>
  <r>
    <n v="944"/>
    <n v="42"/>
    <x v="672"/>
    <x v="28"/>
    <x v="3"/>
    <x v="2"/>
  </r>
  <r>
    <n v="680"/>
    <n v="26"/>
    <x v="673"/>
    <x v="6"/>
    <x v="2"/>
    <x v="0"/>
  </r>
  <r>
    <n v="111"/>
    <n v="31"/>
    <x v="674"/>
    <x v="4"/>
    <x v="1"/>
    <x v="2"/>
  </r>
  <r>
    <n v="390"/>
    <n v="27"/>
    <x v="674"/>
    <x v="25"/>
    <x v="1"/>
    <x v="2"/>
  </r>
  <r>
    <n v="283"/>
    <n v="49"/>
    <x v="675"/>
    <x v="6"/>
    <x v="2"/>
    <x v="0"/>
  </r>
  <r>
    <n v="633"/>
    <n v="23"/>
    <x v="676"/>
    <x v="22"/>
    <x v="2"/>
    <x v="0"/>
  </r>
  <r>
    <n v="597"/>
    <n v="23"/>
    <x v="677"/>
    <x v="8"/>
    <x v="3"/>
    <x v="0"/>
  </r>
  <r>
    <n v="854"/>
    <n v="32"/>
    <x v="677"/>
    <x v="6"/>
    <x v="3"/>
    <x v="0"/>
  </r>
  <r>
    <n v="628"/>
    <n v="29"/>
    <x v="678"/>
    <x v="25"/>
    <x v="3"/>
    <x v="2"/>
  </r>
  <r>
    <n v="986"/>
    <n v="25"/>
    <x v="679"/>
    <x v="22"/>
    <x v="4"/>
    <x v="0"/>
  </r>
  <r>
    <n v="208"/>
    <n v="26"/>
    <x v="680"/>
    <x v="16"/>
    <x v="8"/>
    <x v="2"/>
  </r>
  <r>
    <n v="449"/>
    <n v="55"/>
    <x v="680"/>
    <x v="16"/>
    <x v="4"/>
    <x v="2"/>
  </r>
  <r>
    <n v="879"/>
    <n v="27"/>
    <x v="681"/>
    <x v="25"/>
    <x v="3"/>
    <x v="2"/>
  </r>
  <r>
    <n v="489"/>
    <n v="35"/>
    <x v="682"/>
    <x v="18"/>
    <x v="3"/>
    <x v="2"/>
  </r>
  <r>
    <n v="174"/>
    <n v="33"/>
    <x v="683"/>
    <x v="27"/>
    <x v="2"/>
    <x v="2"/>
  </r>
  <r>
    <n v="210"/>
    <n v="55"/>
    <x v="684"/>
    <x v="16"/>
    <x v="5"/>
    <x v="2"/>
  </r>
  <r>
    <n v="509"/>
    <n v="28"/>
    <x v="684"/>
    <x v="8"/>
    <x v="2"/>
    <x v="0"/>
  </r>
  <r>
    <n v="86"/>
    <n v="29"/>
    <x v="685"/>
    <x v="16"/>
    <x v="1"/>
    <x v="2"/>
  </r>
  <r>
    <n v="110"/>
    <n v="35"/>
    <x v="686"/>
    <x v="13"/>
    <x v="1"/>
    <x v="0"/>
  </r>
  <r>
    <n v="783"/>
    <n v="31"/>
    <x v="686"/>
    <x v="16"/>
    <x v="9"/>
    <x v="2"/>
  </r>
  <r>
    <n v="92"/>
    <n v="54"/>
    <x v="687"/>
    <x v="16"/>
    <x v="5"/>
    <x v="2"/>
  </r>
  <r>
    <n v="988"/>
    <n v="64"/>
    <x v="687"/>
    <x v="32"/>
    <x v="2"/>
    <x v="0"/>
  </r>
  <r>
    <n v="15"/>
    <n v="28"/>
    <x v="688"/>
    <x v="22"/>
    <x v="3"/>
    <x v="0"/>
  </r>
  <r>
    <n v="272"/>
    <n v="37"/>
    <x v="689"/>
    <x v="16"/>
    <x v="4"/>
    <x v="2"/>
  </r>
  <r>
    <n v="46"/>
    <n v="35"/>
    <x v="690"/>
    <x v="20"/>
    <x v="3"/>
    <x v="2"/>
  </r>
  <r>
    <n v="636"/>
    <n v="47"/>
    <x v="690"/>
    <x v="16"/>
    <x v="6"/>
    <x v="2"/>
  </r>
  <r>
    <n v="759"/>
    <n v="31"/>
    <x v="690"/>
    <x v="8"/>
    <x v="3"/>
    <x v="0"/>
  </r>
  <r>
    <n v="61"/>
    <n v="27"/>
    <x v="691"/>
    <x v="25"/>
    <x v="1"/>
    <x v="2"/>
  </r>
  <r>
    <n v="583"/>
    <n v="26"/>
    <x v="692"/>
    <x v="25"/>
    <x v="4"/>
    <x v="2"/>
  </r>
  <r>
    <n v="648"/>
    <n v="26"/>
    <x v="693"/>
    <x v="16"/>
    <x v="3"/>
    <x v="2"/>
  </r>
  <r>
    <n v="904"/>
    <n v="40"/>
    <x v="693"/>
    <x v="22"/>
    <x v="2"/>
    <x v="0"/>
  </r>
  <r>
    <n v="197"/>
    <n v="28"/>
    <x v="694"/>
    <x v="4"/>
    <x v="2"/>
    <x v="2"/>
  </r>
  <r>
    <n v="873"/>
    <n v="26"/>
    <x v="694"/>
    <x v="8"/>
    <x v="1"/>
    <x v="0"/>
  </r>
  <r>
    <n v="415"/>
    <n v="35"/>
    <x v="695"/>
    <x v="8"/>
    <x v="3"/>
    <x v="0"/>
  </r>
  <r>
    <n v="703"/>
    <n v="47"/>
    <x v="696"/>
    <x v="8"/>
    <x v="2"/>
    <x v="0"/>
  </r>
  <r>
    <n v="637"/>
    <n v="28"/>
    <x v="697"/>
    <x v="8"/>
    <x v="2"/>
    <x v="0"/>
  </r>
  <r>
    <n v="26"/>
    <n v="36"/>
    <x v="698"/>
    <x v="4"/>
    <x v="4"/>
    <x v="2"/>
  </r>
  <r>
    <n v="537"/>
    <n v="75"/>
    <x v="698"/>
    <x v="4"/>
    <x v="3"/>
    <x v="2"/>
  </r>
  <r>
    <n v="567"/>
    <n v="36"/>
    <x v="699"/>
    <x v="16"/>
    <x v="3"/>
    <x v="2"/>
  </r>
  <r>
    <n v="776"/>
    <n v="25"/>
    <x v="700"/>
    <x v="8"/>
    <x v="3"/>
    <x v="0"/>
  </r>
  <r>
    <n v="923"/>
    <n v="22"/>
    <x v="701"/>
    <x v="25"/>
    <x v="2"/>
    <x v="2"/>
  </r>
  <r>
    <n v="220"/>
    <n v="64"/>
    <x v="702"/>
    <x v="18"/>
    <x v="3"/>
    <x v="2"/>
  </r>
  <r>
    <n v="849"/>
    <n v="59"/>
    <x v="702"/>
    <x v="25"/>
    <x v="2"/>
    <x v="2"/>
  </r>
  <r>
    <n v="517"/>
    <n v="40"/>
    <x v="703"/>
    <x v="4"/>
    <x v="3"/>
    <x v="2"/>
  </r>
  <r>
    <n v="186"/>
    <n v="31"/>
    <x v="704"/>
    <x v="22"/>
    <x v="2"/>
    <x v="0"/>
  </r>
  <r>
    <n v="595"/>
    <n v="40"/>
    <x v="705"/>
    <x v="8"/>
    <x v="0"/>
    <x v="0"/>
  </r>
  <r>
    <n v="635"/>
    <n v="25"/>
    <x v="706"/>
    <x v="8"/>
    <x v="3"/>
    <x v="0"/>
  </r>
  <r>
    <n v="48"/>
    <n v="23"/>
    <x v="707"/>
    <x v="4"/>
    <x v="5"/>
    <x v="2"/>
  </r>
  <r>
    <n v="687"/>
    <n v="27"/>
    <x v="708"/>
    <x v="18"/>
    <x v="2"/>
    <x v="2"/>
  </r>
  <r>
    <n v="151"/>
    <n v="42"/>
    <x v="709"/>
    <x v="4"/>
    <x v="2"/>
    <x v="2"/>
  </r>
  <r>
    <n v="820"/>
    <n v="26"/>
    <x v="710"/>
    <x v="6"/>
    <x v="2"/>
    <x v="0"/>
  </r>
  <r>
    <n v="303"/>
    <n v="37"/>
    <x v="711"/>
    <x v="8"/>
    <x v="3"/>
    <x v="0"/>
  </r>
  <r>
    <n v="930"/>
    <n v="43"/>
    <x v="711"/>
    <x v="16"/>
    <x v="3"/>
    <x v="2"/>
  </r>
  <r>
    <n v="872"/>
    <n v="46"/>
    <x v="712"/>
    <x v="4"/>
    <x v="3"/>
    <x v="2"/>
  </r>
  <r>
    <n v="817"/>
    <n v="62"/>
    <x v="713"/>
    <x v="4"/>
    <x v="8"/>
    <x v="2"/>
  </r>
  <r>
    <n v="721"/>
    <n v="34"/>
    <x v="714"/>
    <x v="25"/>
    <x v="2"/>
    <x v="2"/>
  </r>
  <r>
    <n v="546"/>
    <n v="43"/>
    <x v="715"/>
    <x v="8"/>
    <x v="3"/>
    <x v="0"/>
  </r>
  <r>
    <n v="556"/>
    <n v="22"/>
    <x v="716"/>
    <x v="16"/>
    <x v="2"/>
    <x v="2"/>
  </r>
  <r>
    <n v="384"/>
    <n v="26"/>
    <x v="717"/>
    <x v="16"/>
    <x v="3"/>
    <x v="2"/>
  </r>
  <r>
    <n v="500"/>
    <n v="28"/>
    <x v="718"/>
    <x v="4"/>
    <x v="3"/>
    <x v="2"/>
  </r>
  <r>
    <n v="876"/>
    <n v="40"/>
    <x v="719"/>
    <x v="20"/>
    <x v="3"/>
    <x v="2"/>
  </r>
  <r>
    <n v="95"/>
    <n v="54"/>
    <x v="720"/>
    <x v="16"/>
    <x v="3"/>
    <x v="2"/>
  </r>
  <r>
    <n v="727"/>
    <n v="47"/>
    <x v="721"/>
    <x v="22"/>
    <x v="2"/>
    <x v="0"/>
  </r>
  <r>
    <n v="429"/>
    <n v="20"/>
    <x v="722"/>
    <x v="25"/>
    <x v="4"/>
    <x v="2"/>
  </r>
  <r>
    <n v="534"/>
    <n v="26"/>
    <x v="723"/>
    <x v="8"/>
    <x v="2"/>
    <x v="0"/>
  </r>
  <r>
    <n v="506"/>
    <n v="27"/>
    <x v="724"/>
    <x v="18"/>
    <x v="3"/>
    <x v="2"/>
  </r>
  <r>
    <n v="642"/>
    <n v="38"/>
    <x v="725"/>
    <x v="22"/>
    <x v="7"/>
    <x v="0"/>
  </r>
  <r>
    <n v="499"/>
    <n v="32"/>
    <x v="726"/>
    <x v="6"/>
    <x v="2"/>
    <x v="0"/>
  </r>
  <r>
    <n v="610"/>
    <n v="45"/>
    <x v="727"/>
    <x v="22"/>
    <x v="5"/>
    <x v="0"/>
  </r>
  <r>
    <n v="757"/>
    <n v="74"/>
    <x v="728"/>
    <x v="4"/>
    <x v="3"/>
    <x v="2"/>
  </r>
  <r>
    <n v="661"/>
    <n v="23"/>
    <x v="729"/>
    <x v="16"/>
    <x v="2"/>
    <x v="2"/>
  </r>
  <r>
    <n v="11"/>
    <n v="25"/>
    <x v="730"/>
    <x v="16"/>
    <x v="3"/>
    <x v="2"/>
  </r>
  <r>
    <n v="87"/>
    <n v="27"/>
    <x v="730"/>
    <x v="6"/>
    <x v="4"/>
    <x v="0"/>
  </r>
  <r>
    <n v="239"/>
    <n v="35"/>
    <x v="731"/>
    <x v="16"/>
    <x v="2"/>
    <x v="2"/>
  </r>
  <r>
    <n v="588"/>
    <n v="21"/>
    <x v="732"/>
    <x v="16"/>
    <x v="4"/>
    <x v="2"/>
  </r>
  <r>
    <n v="157"/>
    <n v="48"/>
    <x v="733"/>
    <x v="25"/>
    <x v="7"/>
    <x v="2"/>
  </r>
  <r>
    <n v="298"/>
    <n v="45"/>
    <x v="734"/>
    <x v="18"/>
    <x v="3"/>
    <x v="2"/>
  </r>
  <r>
    <n v="438"/>
    <n v="37"/>
    <x v="734"/>
    <x v="8"/>
    <x v="3"/>
    <x v="0"/>
  </r>
  <r>
    <n v="756"/>
    <n v="32"/>
    <x v="735"/>
    <x v="8"/>
    <x v="3"/>
    <x v="0"/>
  </r>
  <r>
    <n v="383"/>
    <n v="25"/>
    <x v="736"/>
    <x v="29"/>
    <x v="3"/>
    <x v="0"/>
  </r>
  <r>
    <n v="16"/>
    <n v="32"/>
    <x v="737"/>
    <x v="8"/>
    <x v="2"/>
    <x v="0"/>
  </r>
  <r>
    <n v="156"/>
    <n v="20"/>
    <x v="737"/>
    <x v="16"/>
    <x v="4"/>
    <x v="2"/>
  </r>
  <r>
    <n v="905"/>
    <n v="36"/>
    <x v="738"/>
    <x v="8"/>
    <x v="2"/>
    <x v="0"/>
  </r>
  <r>
    <n v="338"/>
    <n v="24"/>
    <x v="739"/>
    <x v="22"/>
    <x v="8"/>
    <x v="0"/>
  </r>
  <r>
    <n v="605"/>
    <n v="23"/>
    <x v="739"/>
    <x v="18"/>
    <x v="4"/>
    <x v="2"/>
  </r>
  <r>
    <n v="730"/>
    <n v="36"/>
    <x v="739"/>
    <x v="8"/>
    <x v="1"/>
    <x v="0"/>
  </r>
  <r>
    <n v="748"/>
    <n v="37"/>
    <x v="740"/>
    <x v="16"/>
    <x v="3"/>
    <x v="2"/>
  </r>
  <r>
    <n v="758"/>
    <n v="39"/>
    <x v="741"/>
    <x v="22"/>
    <x v="2"/>
    <x v="0"/>
  </r>
  <r>
    <n v="34"/>
    <n v="57"/>
    <x v="742"/>
    <x v="16"/>
    <x v="1"/>
    <x v="2"/>
  </r>
  <r>
    <n v="980"/>
    <n v="25"/>
    <x v="742"/>
    <x v="22"/>
    <x v="3"/>
    <x v="0"/>
  </r>
  <r>
    <n v="53"/>
    <n v="25"/>
    <x v="743"/>
    <x v="16"/>
    <x v="2"/>
    <x v="2"/>
  </r>
  <r>
    <n v="163"/>
    <n v="36"/>
    <x v="743"/>
    <x v="22"/>
    <x v="8"/>
    <x v="0"/>
  </r>
  <r>
    <n v="278"/>
    <n v="49"/>
    <x v="743"/>
    <x v="16"/>
    <x v="4"/>
    <x v="2"/>
  </r>
  <r>
    <n v="246"/>
    <n v="25"/>
    <x v="744"/>
    <x v="8"/>
    <x v="1"/>
    <x v="0"/>
  </r>
  <r>
    <n v="798"/>
    <n v="22"/>
    <x v="744"/>
    <x v="16"/>
    <x v="4"/>
    <x v="2"/>
  </r>
  <r>
    <n v="976"/>
    <n v="57"/>
    <x v="744"/>
    <x v="8"/>
    <x v="2"/>
    <x v="0"/>
  </r>
  <r>
    <n v="545"/>
    <n v="61"/>
    <x v="745"/>
    <x v="16"/>
    <x v="3"/>
    <x v="2"/>
  </r>
  <r>
    <n v="848"/>
    <n v="28"/>
    <x v="746"/>
    <x v="8"/>
    <x v="3"/>
    <x v="0"/>
  </r>
  <r>
    <n v="356"/>
    <n v="23"/>
    <x v="747"/>
    <x v="8"/>
    <x v="3"/>
    <x v="0"/>
  </r>
  <r>
    <n v="475"/>
    <n v="33"/>
    <x v="748"/>
    <x v="6"/>
    <x v="2"/>
    <x v="0"/>
  </r>
  <r>
    <n v="446"/>
    <n v="41"/>
    <x v="749"/>
    <x v="25"/>
    <x v="6"/>
    <x v="2"/>
  </r>
  <r>
    <n v="136"/>
    <n v="38"/>
    <x v="750"/>
    <x v="16"/>
    <x v="2"/>
    <x v="2"/>
  </r>
  <r>
    <n v="612"/>
    <n v="48"/>
    <x v="750"/>
    <x v="18"/>
    <x v="3"/>
    <x v="2"/>
  </r>
  <r>
    <n v="361"/>
    <n v="61"/>
    <x v="751"/>
    <x v="6"/>
    <x v="6"/>
    <x v="0"/>
  </r>
  <r>
    <n v="474"/>
    <n v="36"/>
    <x v="752"/>
    <x v="4"/>
    <x v="9"/>
    <x v="2"/>
  </r>
  <r>
    <n v="309"/>
    <n v="24"/>
    <x v="753"/>
    <x v="27"/>
    <x v="4"/>
    <x v="2"/>
  </r>
  <r>
    <n v="493"/>
    <n v="27"/>
    <x v="753"/>
    <x v="4"/>
    <x v="2"/>
    <x v="2"/>
  </r>
  <r>
    <n v="351"/>
    <n v="23"/>
    <x v="754"/>
    <x v="25"/>
    <x v="8"/>
    <x v="2"/>
  </r>
  <r>
    <n v="696"/>
    <n v="50"/>
    <x v="754"/>
    <x v="4"/>
    <x v="5"/>
    <x v="2"/>
  </r>
  <r>
    <n v="265"/>
    <n v="32"/>
    <x v="755"/>
    <x v="18"/>
    <x v="3"/>
    <x v="2"/>
  </r>
  <r>
    <n v="956"/>
    <n v="57"/>
    <x v="755"/>
    <x v="8"/>
    <x v="2"/>
    <x v="0"/>
  </r>
  <r>
    <n v="723"/>
    <n v="24"/>
    <x v="756"/>
    <x v="16"/>
    <x v="3"/>
    <x v="2"/>
  </r>
  <r>
    <n v="39"/>
    <n v="37"/>
    <x v="757"/>
    <x v="18"/>
    <x v="8"/>
    <x v="2"/>
  </r>
  <r>
    <n v="933"/>
    <n v="30"/>
    <x v="758"/>
    <x v="25"/>
    <x v="3"/>
    <x v="2"/>
  </r>
  <r>
    <n v="399"/>
    <n v="46"/>
    <x v="759"/>
    <x v="16"/>
    <x v="3"/>
    <x v="2"/>
  </r>
  <r>
    <n v="793"/>
    <n v="27"/>
    <x v="760"/>
    <x v="4"/>
    <x v="4"/>
    <x v="2"/>
  </r>
  <r>
    <n v="589"/>
    <n v="47"/>
    <x v="761"/>
    <x v="6"/>
    <x v="8"/>
    <x v="0"/>
  </r>
  <r>
    <n v="504"/>
    <n v="38"/>
    <x v="762"/>
    <x v="8"/>
    <x v="2"/>
    <x v="0"/>
  </r>
  <r>
    <n v="832"/>
    <n v="23"/>
    <x v="762"/>
    <x v="6"/>
    <x v="3"/>
    <x v="0"/>
  </r>
  <r>
    <n v="82"/>
    <n v="47"/>
    <x v="763"/>
    <x v="22"/>
    <x v="2"/>
    <x v="0"/>
  </r>
  <r>
    <n v="486"/>
    <n v="47"/>
    <x v="764"/>
    <x v="4"/>
    <x v="3"/>
    <x v="2"/>
  </r>
  <r>
    <n v="505"/>
    <n v="24"/>
    <x v="765"/>
    <x v="8"/>
    <x v="3"/>
    <x v="0"/>
  </r>
  <r>
    <n v="709"/>
    <n v="25"/>
    <x v="766"/>
    <x v="25"/>
    <x v="2"/>
    <x v="2"/>
  </r>
  <r>
    <n v="248"/>
    <n v="35"/>
    <x v="767"/>
    <x v="4"/>
    <x v="3"/>
    <x v="2"/>
  </r>
  <r>
    <n v="519"/>
    <n v="43"/>
    <x v="768"/>
    <x v="4"/>
    <x v="3"/>
    <x v="2"/>
  </r>
  <r>
    <n v="482"/>
    <n v="26"/>
    <x v="769"/>
    <x v="8"/>
    <x v="3"/>
    <x v="0"/>
  </r>
  <r>
    <n v="222"/>
    <n v="23"/>
    <x v="770"/>
    <x v="16"/>
    <x v="6"/>
    <x v="2"/>
  </r>
  <r>
    <n v="14"/>
    <n v="60"/>
    <x v="771"/>
    <x v="8"/>
    <x v="3"/>
    <x v="0"/>
  </r>
  <r>
    <n v="555"/>
    <n v="67"/>
    <x v="771"/>
    <x v="25"/>
    <x v="6"/>
    <x v="2"/>
  </r>
  <r>
    <n v="712"/>
    <n v="35"/>
    <x v="772"/>
    <x v="4"/>
    <x v="6"/>
    <x v="2"/>
  </r>
  <r>
    <n v="973"/>
    <n v="29"/>
    <x v="773"/>
    <x v="8"/>
    <x v="3"/>
    <x v="0"/>
  </r>
  <r>
    <n v="430"/>
    <n v="55"/>
    <x v="774"/>
    <x v="6"/>
    <x v="7"/>
    <x v="0"/>
  </r>
  <r>
    <n v="791"/>
    <n v="39"/>
    <x v="775"/>
    <x v="7"/>
    <x v="1"/>
    <x v="0"/>
  </r>
  <r>
    <n v="244"/>
    <n v="27"/>
    <x v="776"/>
    <x v="16"/>
    <x v="1"/>
    <x v="2"/>
  </r>
  <r>
    <n v="188"/>
    <n v="68"/>
    <x v="777"/>
    <x v="30"/>
    <x v="3"/>
    <x v="0"/>
  </r>
  <r>
    <n v="1"/>
    <n v="67"/>
    <x v="778"/>
    <x v="4"/>
    <x v="2"/>
    <x v="2"/>
  </r>
  <r>
    <n v="895"/>
    <n v="29"/>
    <x v="778"/>
    <x v="6"/>
    <x v="2"/>
    <x v="0"/>
  </r>
  <r>
    <n v="202"/>
    <n v="27"/>
    <x v="779"/>
    <x v="16"/>
    <x v="3"/>
    <x v="2"/>
  </r>
  <r>
    <n v="73"/>
    <n v="51"/>
    <x v="780"/>
    <x v="27"/>
    <x v="0"/>
    <x v="2"/>
  </r>
  <r>
    <n v="485"/>
    <n v="44"/>
    <x v="781"/>
    <x v="16"/>
    <x v="3"/>
    <x v="2"/>
  </r>
  <r>
    <n v="42"/>
    <n v="26"/>
    <x v="782"/>
    <x v="16"/>
    <x v="2"/>
    <x v="2"/>
  </r>
  <r>
    <n v="766"/>
    <n v="40"/>
    <x v="783"/>
    <x v="16"/>
    <x v="2"/>
    <x v="2"/>
  </r>
  <r>
    <n v="260"/>
    <n v="57"/>
    <x v="784"/>
    <x v="20"/>
    <x v="2"/>
    <x v="2"/>
  </r>
  <r>
    <n v="958"/>
    <n v="37"/>
    <x v="784"/>
    <x v="25"/>
    <x v="2"/>
    <x v="2"/>
  </r>
  <r>
    <n v="428"/>
    <n v="46"/>
    <x v="785"/>
    <x v="6"/>
    <x v="2"/>
    <x v="0"/>
  </r>
  <r>
    <n v="714"/>
    <n v="25"/>
    <x v="786"/>
    <x v="25"/>
    <x v="2"/>
    <x v="2"/>
  </r>
  <r>
    <n v="350"/>
    <n v="32"/>
    <x v="787"/>
    <x v="25"/>
    <x v="6"/>
    <x v="2"/>
  </r>
  <r>
    <n v="167"/>
    <n v="33"/>
    <x v="788"/>
    <x v="6"/>
    <x v="4"/>
    <x v="0"/>
  </r>
  <r>
    <n v="387"/>
    <n v="21"/>
    <x v="789"/>
    <x v="6"/>
    <x v="2"/>
    <x v="0"/>
  </r>
  <r>
    <n v="503"/>
    <n v="49"/>
    <x v="789"/>
    <x v="25"/>
    <x v="2"/>
    <x v="2"/>
  </r>
  <r>
    <n v="701"/>
    <n v="29"/>
    <x v="790"/>
    <x v="16"/>
    <x v="4"/>
    <x v="2"/>
  </r>
  <r>
    <n v="525"/>
    <n v="26"/>
    <x v="791"/>
    <x v="6"/>
    <x v="2"/>
    <x v="0"/>
  </r>
  <r>
    <n v="90"/>
    <n v="28"/>
    <x v="792"/>
    <x v="16"/>
    <x v="7"/>
    <x v="2"/>
  </r>
  <r>
    <n v="906"/>
    <n v="20"/>
    <x v="793"/>
    <x v="16"/>
    <x v="2"/>
    <x v="2"/>
  </r>
  <r>
    <n v="697"/>
    <n v="29"/>
    <x v="794"/>
    <x v="16"/>
    <x v="2"/>
    <x v="2"/>
  </r>
  <r>
    <n v="821"/>
    <n v="27"/>
    <x v="795"/>
    <x v="16"/>
    <x v="3"/>
    <x v="2"/>
  </r>
  <r>
    <n v="884"/>
    <n v="65"/>
    <x v="796"/>
    <x v="6"/>
    <x v="2"/>
    <x v="0"/>
  </r>
  <r>
    <n v="289"/>
    <n v="49"/>
    <x v="797"/>
    <x v="16"/>
    <x v="2"/>
    <x v="2"/>
  </r>
  <r>
    <n v="575"/>
    <n v="27"/>
    <x v="798"/>
    <x v="25"/>
    <x v="2"/>
    <x v="2"/>
  </r>
  <r>
    <n v="836"/>
    <n v="48"/>
    <x v="798"/>
    <x v="16"/>
    <x v="3"/>
    <x v="2"/>
  </r>
  <r>
    <n v="291"/>
    <n v="26"/>
    <x v="799"/>
    <x v="16"/>
    <x v="1"/>
    <x v="2"/>
  </r>
  <r>
    <n v="330"/>
    <n v="28"/>
    <x v="800"/>
    <x v="4"/>
    <x v="2"/>
    <x v="2"/>
  </r>
  <r>
    <n v="581"/>
    <n v="30"/>
    <x v="801"/>
    <x v="6"/>
    <x v="3"/>
    <x v="0"/>
  </r>
  <r>
    <n v="162"/>
    <n v="30"/>
    <x v="802"/>
    <x v="6"/>
    <x v="3"/>
    <x v="0"/>
  </r>
  <r>
    <n v="408"/>
    <n v="27"/>
    <x v="803"/>
    <x v="22"/>
    <x v="2"/>
    <x v="0"/>
  </r>
  <r>
    <n v="664"/>
    <n v="35"/>
    <x v="804"/>
    <x v="4"/>
    <x v="4"/>
    <x v="2"/>
  </r>
  <r>
    <n v="927"/>
    <n v="21"/>
    <x v="805"/>
    <x v="6"/>
    <x v="4"/>
    <x v="0"/>
  </r>
  <r>
    <n v="742"/>
    <n v="23"/>
    <x v="806"/>
    <x v="18"/>
    <x v="2"/>
    <x v="2"/>
  </r>
  <r>
    <n v="665"/>
    <n v="50"/>
    <x v="807"/>
    <x v="4"/>
    <x v="6"/>
    <x v="2"/>
  </r>
  <r>
    <n v="420"/>
    <n v="33"/>
    <x v="808"/>
    <x v="6"/>
    <x v="3"/>
    <x v="0"/>
  </r>
  <r>
    <n v="304"/>
    <n v="49"/>
    <x v="809"/>
    <x v="18"/>
    <x v="3"/>
    <x v="2"/>
  </r>
  <r>
    <n v="479"/>
    <n v="39"/>
    <x v="810"/>
    <x v="16"/>
    <x v="1"/>
    <x v="2"/>
  </r>
  <r>
    <n v="325"/>
    <n v="36"/>
    <x v="811"/>
    <x v="6"/>
    <x v="3"/>
    <x v="0"/>
  </r>
  <r>
    <n v="290"/>
    <n v="48"/>
    <x v="812"/>
    <x v="8"/>
    <x v="2"/>
    <x v="0"/>
  </r>
  <r>
    <n v="68"/>
    <n v="22"/>
    <x v="813"/>
    <x v="16"/>
    <x v="3"/>
    <x v="2"/>
  </r>
  <r>
    <n v="270"/>
    <n v="25"/>
    <x v="814"/>
    <x v="8"/>
    <x v="2"/>
    <x v="0"/>
  </r>
  <r>
    <n v="551"/>
    <n v="23"/>
    <x v="815"/>
    <x v="16"/>
    <x v="7"/>
    <x v="2"/>
  </r>
  <r>
    <n v="392"/>
    <n v="19"/>
    <x v="816"/>
    <x v="16"/>
    <x v="4"/>
    <x v="2"/>
  </r>
  <r>
    <n v="752"/>
    <n v="23"/>
    <x v="817"/>
    <x v="6"/>
    <x v="3"/>
    <x v="0"/>
  </r>
  <r>
    <n v="804"/>
    <n v="35"/>
    <x v="817"/>
    <x v="16"/>
    <x v="2"/>
    <x v="2"/>
  </r>
  <r>
    <n v="691"/>
    <n v="25"/>
    <x v="818"/>
    <x v="22"/>
    <x v="4"/>
    <x v="0"/>
  </r>
  <r>
    <n v="484"/>
    <n v="30"/>
    <x v="819"/>
    <x v="22"/>
    <x v="4"/>
    <x v="0"/>
  </r>
  <r>
    <n v="352"/>
    <n v="29"/>
    <x v="820"/>
    <x v="25"/>
    <x v="4"/>
    <x v="2"/>
  </r>
  <r>
    <n v="423"/>
    <n v="47"/>
    <x v="821"/>
    <x v="16"/>
    <x v="3"/>
    <x v="2"/>
  </r>
  <r>
    <n v="198"/>
    <n v="27"/>
    <x v="822"/>
    <x v="16"/>
    <x v="4"/>
    <x v="2"/>
  </r>
  <r>
    <n v="171"/>
    <n v="33"/>
    <x v="823"/>
    <x v="22"/>
    <x v="3"/>
    <x v="0"/>
  </r>
  <r>
    <n v="649"/>
    <n v="38"/>
    <x v="824"/>
    <x v="8"/>
    <x v="3"/>
    <x v="0"/>
  </r>
  <r>
    <n v="410"/>
    <n v="28"/>
    <x v="825"/>
    <x v="16"/>
    <x v="3"/>
    <x v="2"/>
  </r>
  <r>
    <n v="580"/>
    <n v="27"/>
    <x v="826"/>
    <x v="8"/>
    <x v="9"/>
    <x v="0"/>
  </r>
  <r>
    <n v="201"/>
    <n v="52"/>
    <x v="827"/>
    <x v="25"/>
    <x v="6"/>
    <x v="2"/>
  </r>
  <r>
    <n v="103"/>
    <n v="24"/>
    <x v="828"/>
    <x v="4"/>
    <x v="2"/>
    <x v="2"/>
  </r>
  <r>
    <n v="216"/>
    <n v="39"/>
    <x v="828"/>
    <x v="4"/>
    <x v="9"/>
    <x v="2"/>
  </r>
  <r>
    <n v="596"/>
    <n v="32"/>
    <x v="829"/>
    <x v="4"/>
    <x v="3"/>
    <x v="2"/>
  </r>
  <r>
    <n v="808"/>
    <n v="65"/>
    <x v="830"/>
    <x v="16"/>
    <x v="2"/>
    <x v="2"/>
  </r>
  <r>
    <n v="943"/>
    <n v="31"/>
    <x v="831"/>
    <x v="8"/>
    <x v="4"/>
    <x v="0"/>
  </r>
  <r>
    <n v="698"/>
    <n v="38"/>
    <x v="832"/>
    <x v="16"/>
    <x v="3"/>
    <x v="2"/>
  </r>
  <r>
    <n v="602"/>
    <n v="30"/>
    <x v="833"/>
    <x v="25"/>
    <x v="4"/>
    <x v="2"/>
  </r>
  <r>
    <n v="241"/>
    <n v="29"/>
    <x v="834"/>
    <x v="8"/>
    <x v="3"/>
    <x v="0"/>
  </r>
  <r>
    <n v="165"/>
    <n v="36"/>
    <x v="835"/>
    <x v="2"/>
    <x v="3"/>
    <x v="0"/>
  </r>
  <r>
    <n v="811"/>
    <n v="26"/>
    <x v="836"/>
    <x v="27"/>
    <x v="1"/>
    <x v="2"/>
  </r>
  <r>
    <n v="204"/>
    <n v="21"/>
    <x v="837"/>
    <x v="16"/>
    <x v="9"/>
    <x v="2"/>
  </r>
  <r>
    <n v="662"/>
    <n v="23"/>
    <x v="838"/>
    <x v="16"/>
    <x v="3"/>
    <x v="2"/>
  </r>
  <r>
    <n v="857"/>
    <n v="40"/>
    <x v="839"/>
    <x v="18"/>
    <x v="9"/>
    <x v="2"/>
  </r>
  <r>
    <n v="657"/>
    <n v="41"/>
    <x v="840"/>
    <x v="16"/>
    <x v="3"/>
    <x v="2"/>
  </r>
  <r>
    <n v="837"/>
    <n v="21"/>
    <x v="841"/>
    <x v="16"/>
    <x v="2"/>
    <x v="2"/>
  </r>
  <r>
    <n v="185"/>
    <n v="36"/>
    <x v="842"/>
    <x v="6"/>
    <x v="3"/>
    <x v="0"/>
  </r>
  <r>
    <n v="347"/>
    <n v="23"/>
    <x v="843"/>
    <x v="32"/>
    <x v="2"/>
    <x v="0"/>
  </r>
  <r>
    <n v="874"/>
    <n v="24"/>
    <x v="844"/>
    <x v="22"/>
    <x v="8"/>
    <x v="0"/>
  </r>
  <r>
    <n v="234"/>
    <n v="25"/>
    <x v="845"/>
    <x v="6"/>
    <x v="2"/>
    <x v="0"/>
  </r>
  <r>
    <n v="147"/>
    <n v="39"/>
    <x v="846"/>
    <x v="4"/>
    <x v="3"/>
    <x v="2"/>
  </r>
  <r>
    <n v="378"/>
    <n v="36"/>
    <x v="847"/>
    <x v="31"/>
    <x v="2"/>
    <x v="2"/>
  </r>
  <r>
    <n v="753"/>
    <n v="23"/>
    <x v="848"/>
    <x v="16"/>
    <x v="1"/>
    <x v="2"/>
  </r>
  <r>
    <n v="784"/>
    <n v="23"/>
    <x v="849"/>
    <x v="16"/>
    <x v="3"/>
    <x v="2"/>
  </r>
  <r>
    <n v="574"/>
    <n v="22"/>
    <x v="850"/>
    <x v="22"/>
    <x v="1"/>
    <x v="0"/>
  </r>
  <r>
    <n v="998"/>
    <n v="38"/>
    <x v="851"/>
    <x v="16"/>
    <x v="2"/>
    <x v="2"/>
  </r>
  <r>
    <n v="266"/>
    <n v="37"/>
    <x v="852"/>
    <x v="22"/>
    <x v="2"/>
    <x v="0"/>
  </r>
  <r>
    <n v="404"/>
    <n v="27"/>
    <x v="852"/>
    <x v="13"/>
    <x v="3"/>
    <x v="0"/>
  </r>
  <r>
    <n v="93"/>
    <n v="33"/>
    <x v="853"/>
    <x v="16"/>
    <x v="2"/>
    <x v="2"/>
  </r>
  <r>
    <n v="886"/>
    <n v="53"/>
    <x v="854"/>
    <x v="16"/>
    <x v="6"/>
    <x v="2"/>
  </r>
  <r>
    <n v="724"/>
    <n v="66"/>
    <x v="855"/>
    <x v="25"/>
    <x v="2"/>
    <x v="2"/>
  </r>
  <r>
    <n v="56"/>
    <n v="26"/>
    <x v="856"/>
    <x v="4"/>
    <x v="3"/>
    <x v="2"/>
  </r>
  <r>
    <n v="124"/>
    <n v="63"/>
    <x v="857"/>
    <x v="18"/>
    <x v="3"/>
    <x v="2"/>
  </r>
  <r>
    <n v="359"/>
    <n v="28"/>
    <x v="858"/>
    <x v="16"/>
    <x v="2"/>
    <x v="2"/>
  </r>
  <r>
    <n v="138"/>
    <n v="66"/>
    <x v="859"/>
    <x v="16"/>
    <x v="2"/>
    <x v="2"/>
  </r>
  <r>
    <n v="172"/>
    <n v="26"/>
    <x v="860"/>
    <x v="16"/>
    <x v="4"/>
    <x v="2"/>
  </r>
  <r>
    <n v="733"/>
    <n v="44"/>
    <x v="861"/>
    <x v="27"/>
    <x v="2"/>
    <x v="2"/>
  </r>
  <r>
    <n v="511"/>
    <n v="26"/>
    <x v="862"/>
    <x v="16"/>
    <x v="3"/>
    <x v="2"/>
  </r>
  <r>
    <n v="464"/>
    <n v="38"/>
    <x v="863"/>
    <x v="16"/>
    <x v="9"/>
    <x v="2"/>
  </r>
  <r>
    <n v="977"/>
    <n v="64"/>
    <x v="864"/>
    <x v="4"/>
    <x v="2"/>
    <x v="2"/>
  </r>
  <r>
    <n v="641"/>
    <n v="27"/>
    <x v="865"/>
    <x v="6"/>
    <x v="6"/>
    <x v="0"/>
  </r>
  <r>
    <n v="937"/>
    <n v="28"/>
    <x v="866"/>
    <x v="25"/>
    <x v="2"/>
    <x v="2"/>
  </r>
  <r>
    <n v="611"/>
    <n v="22"/>
    <x v="867"/>
    <x v="16"/>
    <x v="8"/>
    <x v="2"/>
  </r>
  <r>
    <n v="824"/>
    <n v="47"/>
    <x v="868"/>
    <x v="27"/>
    <x v="3"/>
    <x v="2"/>
  </r>
  <r>
    <n v="72"/>
    <n v="46"/>
    <x v="869"/>
    <x v="31"/>
    <x v="2"/>
    <x v="2"/>
  </r>
  <r>
    <n v="308"/>
    <n v="33"/>
    <x v="870"/>
    <x v="16"/>
    <x v="2"/>
    <x v="2"/>
  </r>
  <r>
    <n v="355"/>
    <n v="46"/>
    <x v="870"/>
    <x v="18"/>
    <x v="6"/>
    <x v="2"/>
  </r>
  <r>
    <n v="444"/>
    <n v="41"/>
    <x v="871"/>
    <x v="16"/>
    <x v="6"/>
    <x v="2"/>
  </r>
  <r>
    <n v="247"/>
    <n v="52"/>
    <x v="872"/>
    <x v="16"/>
    <x v="2"/>
    <x v="2"/>
  </r>
  <r>
    <n v="799"/>
    <n v="54"/>
    <x v="872"/>
    <x v="8"/>
    <x v="3"/>
    <x v="0"/>
  </r>
  <r>
    <n v="141"/>
    <n v="27"/>
    <x v="873"/>
    <x v="4"/>
    <x v="3"/>
    <x v="2"/>
  </r>
  <r>
    <n v="850"/>
    <n v="57"/>
    <x v="873"/>
    <x v="16"/>
    <x v="2"/>
    <x v="2"/>
  </r>
  <r>
    <n v="317"/>
    <n v="38"/>
    <x v="874"/>
    <x v="16"/>
    <x v="4"/>
    <x v="2"/>
  </r>
  <r>
    <n v="223"/>
    <n v="30"/>
    <x v="875"/>
    <x v="16"/>
    <x v="2"/>
    <x v="2"/>
  </r>
  <r>
    <n v="127"/>
    <n v="40"/>
    <x v="876"/>
    <x v="16"/>
    <x v="2"/>
    <x v="2"/>
  </r>
  <r>
    <n v="319"/>
    <n v="32"/>
    <x v="876"/>
    <x v="16"/>
    <x v="6"/>
    <x v="2"/>
  </r>
  <r>
    <n v="520"/>
    <n v="36"/>
    <x v="877"/>
    <x v="4"/>
    <x v="2"/>
    <x v="2"/>
  </r>
  <r>
    <n v="926"/>
    <n v="46"/>
    <x v="878"/>
    <x v="16"/>
    <x v="3"/>
    <x v="2"/>
  </r>
  <r>
    <n v="760"/>
    <n v="35"/>
    <x v="879"/>
    <x v="16"/>
    <x v="3"/>
    <x v="2"/>
  </r>
  <r>
    <n v="314"/>
    <n v="25"/>
    <x v="880"/>
    <x v="16"/>
    <x v="3"/>
    <x v="2"/>
  </r>
  <r>
    <n v="650"/>
    <n v="40"/>
    <x v="881"/>
    <x v="16"/>
    <x v="6"/>
    <x v="2"/>
  </r>
  <r>
    <n v="563"/>
    <n v="29"/>
    <x v="882"/>
    <x v="4"/>
    <x v="2"/>
    <x v="2"/>
  </r>
  <r>
    <n v="148"/>
    <n v="51"/>
    <x v="883"/>
    <x v="16"/>
    <x v="3"/>
    <x v="2"/>
  </r>
  <r>
    <n v="189"/>
    <n v="20"/>
    <x v="884"/>
    <x v="16"/>
    <x v="2"/>
    <x v="2"/>
  </r>
  <r>
    <n v="301"/>
    <n v="54"/>
    <x v="885"/>
    <x v="4"/>
    <x v="3"/>
    <x v="2"/>
  </r>
  <r>
    <n v="251"/>
    <n v="39"/>
    <x v="886"/>
    <x v="4"/>
    <x v="3"/>
    <x v="2"/>
  </r>
  <r>
    <n v="530"/>
    <n v="41"/>
    <x v="887"/>
    <x v="4"/>
    <x v="3"/>
    <x v="2"/>
  </r>
  <r>
    <n v="437"/>
    <n v="23"/>
    <x v="888"/>
    <x v="4"/>
    <x v="7"/>
    <x v="2"/>
  </r>
  <r>
    <n v="473"/>
    <n v="28"/>
    <x v="889"/>
    <x v="25"/>
    <x v="3"/>
    <x v="2"/>
  </r>
  <r>
    <n v="870"/>
    <n v="24"/>
    <x v="890"/>
    <x v="16"/>
    <x v="4"/>
    <x v="2"/>
  </r>
  <r>
    <n v="620"/>
    <n v="49"/>
    <x v="891"/>
    <x v="16"/>
    <x v="3"/>
    <x v="2"/>
  </r>
  <r>
    <n v="128"/>
    <n v="30"/>
    <x v="892"/>
    <x v="16"/>
    <x v="7"/>
    <x v="2"/>
  </r>
  <r>
    <n v="711"/>
    <n v="32"/>
    <x v="893"/>
    <x v="6"/>
    <x v="2"/>
    <x v="0"/>
  </r>
  <r>
    <n v="549"/>
    <n v="24"/>
    <x v="894"/>
    <x v="16"/>
    <x v="2"/>
    <x v="2"/>
  </r>
  <r>
    <n v="221"/>
    <n v="26"/>
    <x v="895"/>
    <x v="16"/>
    <x v="2"/>
    <x v="2"/>
  </r>
  <r>
    <n v="91"/>
    <n v="56"/>
    <x v="896"/>
    <x v="16"/>
    <x v="2"/>
    <x v="2"/>
  </r>
  <r>
    <n v="440"/>
    <n v="26"/>
    <x v="897"/>
    <x v="16"/>
    <x v="1"/>
    <x v="2"/>
  </r>
  <r>
    <n v="516"/>
    <n v="37"/>
    <x v="897"/>
    <x v="4"/>
    <x v="3"/>
    <x v="2"/>
  </r>
  <r>
    <n v="838"/>
    <n v="23"/>
    <x v="898"/>
    <x v="28"/>
    <x v="4"/>
    <x v="2"/>
  </r>
  <r>
    <n v="807"/>
    <n v="26"/>
    <x v="899"/>
    <x v="4"/>
    <x v="2"/>
    <x v="2"/>
  </r>
  <r>
    <n v="514"/>
    <n v="20"/>
    <x v="900"/>
    <x v="16"/>
    <x v="2"/>
    <x v="2"/>
  </r>
  <r>
    <n v="180"/>
    <n v="65"/>
    <x v="901"/>
    <x v="7"/>
    <x v="3"/>
    <x v="0"/>
  </r>
  <r>
    <n v="934"/>
    <n v="42"/>
    <x v="902"/>
    <x v="16"/>
    <x v="2"/>
    <x v="2"/>
  </r>
  <r>
    <n v="452"/>
    <n v="29"/>
    <x v="903"/>
    <x v="4"/>
    <x v="2"/>
    <x v="2"/>
  </r>
  <r>
    <n v="812"/>
    <n v="28"/>
    <x v="904"/>
    <x v="4"/>
    <x v="2"/>
    <x v="2"/>
  </r>
  <r>
    <n v="40"/>
    <n v="24"/>
    <x v="905"/>
    <x v="25"/>
    <x v="2"/>
    <x v="2"/>
  </r>
  <r>
    <n v="965"/>
    <n v="22"/>
    <x v="906"/>
    <x v="4"/>
    <x v="7"/>
    <x v="2"/>
  </r>
  <r>
    <n v="472"/>
    <n v="23"/>
    <x v="907"/>
    <x v="4"/>
    <x v="6"/>
    <x v="2"/>
  </r>
  <r>
    <n v="250"/>
    <n v="22"/>
    <x v="908"/>
    <x v="6"/>
    <x v="2"/>
    <x v="0"/>
  </r>
  <r>
    <n v="722"/>
    <n v="24"/>
    <x v="908"/>
    <x v="4"/>
    <x v="6"/>
    <x v="2"/>
  </r>
  <r>
    <n v="751"/>
    <n v="49"/>
    <x v="909"/>
    <x v="4"/>
    <x v="4"/>
    <x v="2"/>
  </r>
  <r>
    <n v="27"/>
    <n v="39"/>
    <x v="910"/>
    <x v="4"/>
    <x v="2"/>
    <x v="2"/>
  </r>
  <r>
    <n v="28"/>
    <n v="42"/>
    <x v="911"/>
    <x v="16"/>
    <x v="2"/>
    <x v="2"/>
  </r>
  <r>
    <n v="112"/>
    <n v="23"/>
    <x v="912"/>
    <x v="22"/>
    <x v="6"/>
    <x v="0"/>
  </r>
  <r>
    <n v="591"/>
    <n v="58"/>
    <x v="913"/>
    <x v="16"/>
    <x v="2"/>
    <x v="2"/>
  </r>
  <r>
    <n v="494"/>
    <n v="38"/>
    <x v="914"/>
    <x v="4"/>
    <x v="2"/>
    <x v="2"/>
  </r>
  <r>
    <n v="380"/>
    <n v="52"/>
    <x v="915"/>
    <x v="4"/>
    <x v="3"/>
    <x v="2"/>
  </r>
  <r>
    <n v="459"/>
    <n v="27"/>
    <x v="916"/>
    <x v="4"/>
    <x v="8"/>
    <x v="2"/>
  </r>
  <r>
    <n v="158"/>
    <n v="45"/>
    <x v="917"/>
    <x v="16"/>
    <x v="9"/>
    <x v="2"/>
  </r>
  <r>
    <n v="178"/>
    <n v="52"/>
    <x v="918"/>
    <x v="4"/>
    <x v="2"/>
    <x v="2"/>
  </r>
  <r>
    <n v="310"/>
    <n v="22"/>
    <x v="919"/>
    <x v="25"/>
    <x v="3"/>
    <x v="2"/>
  </r>
  <r>
    <n v="726"/>
    <n v="41"/>
    <x v="920"/>
    <x v="4"/>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C523B-C75E-4475-8B4E-7B8945FEA9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15" firstHeaderRow="1" firstDataRow="2" firstDataCol="1"/>
  <pivotFields count="6">
    <pivotField showAll="0"/>
    <pivotField showAll="0"/>
    <pivotField dataField="1" numFmtId="164" showAll="0">
      <items count="922">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34">
        <item x="28"/>
        <item x="26"/>
        <item x="4"/>
        <item x="31"/>
        <item x="27"/>
        <item x="25"/>
        <item x="18"/>
        <item x="20"/>
        <item x="16"/>
        <item x="32"/>
        <item x="13"/>
        <item x="22"/>
        <item x="30"/>
        <item x="6"/>
        <item x="21"/>
        <item x="7"/>
        <item x="29"/>
        <item x="8"/>
        <item x="15"/>
        <item x="14"/>
        <item x="17"/>
        <item x="9"/>
        <item x="19"/>
        <item x="2"/>
        <item x="5"/>
        <item x="23"/>
        <item x="12"/>
        <item x="10"/>
        <item x="11"/>
        <item x="0"/>
        <item x="1"/>
        <item x="3"/>
        <item x="24"/>
        <item t="default"/>
      </items>
    </pivotField>
    <pivotField axis="axisRow" showAll="0">
      <items count="11">
        <item x="1"/>
        <item x="8"/>
        <item x="6"/>
        <item x="4"/>
        <item x="3"/>
        <item x="0"/>
        <item x="2"/>
        <item x="7"/>
        <item x="9"/>
        <item x="5"/>
        <item t="default"/>
      </items>
    </pivotField>
    <pivotField axis="axisCol" showAll="0">
      <items count="4">
        <item x="0"/>
        <item x="2"/>
        <item x="1"/>
        <item t="default"/>
      </items>
    </pivotField>
  </pivotFields>
  <rowFields count="1">
    <field x="4"/>
  </rowFields>
  <rowItems count="11">
    <i>
      <x/>
    </i>
    <i>
      <x v="1"/>
    </i>
    <i>
      <x v="2"/>
    </i>
    <i>
      <x v="3"/>
    </i>
    <i>
      <x v="4"/>
    </i>
    <i>
      <x v="5"/>
    </i>
    <i>
      <x v="6"/>
    </i>
    <i>
      <x v="7"/>
    </i>
    <i>
      <x v="8"/>
    </i>
    <i>
      <x v="9"/>
    </i>
    <i t="grand">
      <x/>
    </i>
  </rowItems>
  <colFields count="1">
    <field x="5"/>
  </colFields>
  <colItems count="4">
    <i>
      <x/>
    </i>
    <i>
      <x v="1"/>
    </i>
    <i>
      <x v="2"/>
    </i>
    <i t="grand">
      <x/>
    </i>
  </colItems>
  <dataFields count="1">
    <dataField name="Sum of Loan_Amount" fld="2" baseField="0" baseItem="0" numFmtId="164"/>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401694F6-5C31-4419-B4D9-1AADFAF47E38}" sourceName="purpose">
  <pivotTables>
    <pivotTable tabId="3" name="PivotTable1"/>
  </pivotTables>
  <data>
    <tabular pivotCacheId="2040869837">
      <items count="10">
        <i x="1" s="1"/>
        <i x="8" s="1"/>
        <i x="6" s="1"/>
        <i x="4" s="1"/>
        <i x="3" s="1"/>
        <i x="0" s="1"/>
        <i x="2" s="1"/>
        <i x="7"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C8DC9DF3-FE0D-431B-9EFD-93262BF03264}" sourceName="Risk_category">
  <pivotTables>
    <pivotTable tabId="3" name="PivotTable1"/>
  </pivotTables>
  <data>
    <tabular pivotCacheId="20408698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pose" xr10:uid="{9B7017DD-2D4C-4B11-8FC6-04EAF4FF56C3}" cache="Slicer_purpose" caption="purpose" columnCount="2" style="SlicerStyleLight2" rowHeight="234950"/>
  <slicer name="Risk_category" xr10:uid="{A74D8295-C364-40F2-B460-6DB22F2BD759}" cache="Slicer_Risk_category" caption="Risk_category" style="SlicerStyleLight4"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B3A75-AE28-477E-BAB8-817DBB9B309D}" name="Table1" displayName="Table1" ref="A1:D6" totalsRowShown="0" headerRowDxfId="1" dataDxfId="0">
  <autoFilter ref="A1:D6" xr:uid="{7BFB3A75-AE28-477E-BAB8-817DBB9B309D}"/>
  <tableColumns count="4">
    <tableColumn id="1" xr3:uid="{F030C07C-24E0-4A27-9BAA-369A7762616E}" name="full_name" dataDxfId="5"/>
    <tableColumn id="2" xr3:uid="{C80428F6-AAA5-474C-9351-A1A2C8DFDE9F}" name="city" dataDxfId="4"/>
    <tableColumn id="3" xr3:uid="{8451062F-2603-40FA-9586-1C091678F265}" name=" Loan_Amount " dataDxfId="3"/>
    <tableColumn id="4" xr3:uid="{5187E9CF-5A10-495C-8E1C-8CF8EAA95F8E}" name="ag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8EFE5C-9AF3-4B19-8502-5D4465768947}" name="Table2" displayName="Table2" ref="A1:F1001" totalsRowShown="0" headerRowDxfId="23" dataDxfId="22">
  <autoFilter ref="A1:F1001" xr:uid="{E18EFE5C-9AF3-4B19-8502-5D4465768947}"/>
  <tableColumns count="6">
    <tableColumn id="1" xr3:uid="{9849AFD7-12D3-43D9-B95C-4CF19BFB619A}" name="customer_ID" dataDxfId="21"/>
    <tableColumn id="2" xr3:uid="{2BEAC619-7577-459D-B033-682422F58CDF}" name="Age" dataDxfId="20"/>
    <tableColumn id="3" xr3:uid="{7ACD26B1-81E5-4526-AE84-2BDB77B2A5C8}" name="Loan_Amount" dataDxfId="19"/>
    <tableColumn id="4" xr3:uid="{F7616F66-11A7-43E4-8C37-F895981DB9FD}" name="Duration" dataDxfId="18"/>
    <tableColumn id="5" xr3:uid="{B68E882D-F4BB-4A84-BDFF-86DCFACD26DD}" name="purpose" dataDxfId="17"/>
    <tableColumn id="6" xr3:uid="{F4C1CB45-C321-482F-8F55-BA64C4BCAD07}" name="Risk_category"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3F40F-CF07-4860-95F9-83CB6EAB1652}" name="Table3" displayName="Table3" ref="A1:C11" totalsRowShown="0" headerRowDxfId="15">
  <autoFilter ref="A1:C11" xr:uid="{9063F40F-CF07-4860-95F9-83CB6EAB1652}"/>
  <tableColumns count="3">
    <tableColumn id="1" xr3:uid="{E462EB7A-94C4-4ED5-93FA-9E708F75D416}" name="Purpose" dataDxfId="14"/>
    <tableColumn id="2" xr3:uid="{3BA25579-6956-4D18-AFD3-0C863B588207}" name="Total_Loans" dataDxfId="13"/>
    <tableColumn id="3" xr3:uid="{FB741EFB-DD5D-40A0-9544-0AF61E35135B}" name="Average_Loan_Amount"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C5EF-FE0C-4FA7-9814-637E03D7D913}">
  <dimension ref="A1:I8"/>
  <sheetViews>
    <sheetView tabSelected="1" workbookViewId="0">
      <selection activeCell="C9" sqref="C9"/>
    </sheetView>
  </sheetViews>
  <sheetFormatPr defaultRowHeight="14.4" x14ac:dyDescent="0.3"/>
  <cols>
    <col min="1" max="1" width="19.33203125" customWidth="1"/>
    <col min="2" max="2" width="13.88671875" customWidth="1"/>
    <col min="3" max="3" width="21.44140625" customWidth="1"/>
    <col min="5" max="5" width="7.6640625" customWidth="1"/>
    <col min="6" max="6" width="16.44140625" customWidth="1"/>
    <col min="7" max="7" width="17.88671875" customWidth="1"/>
    <col min="8" max="8" width="19.21875" customWidth="1"/>
    <col min="9" max="9" width="11.33203125" customWidth="1"/>
  </cols>
  <sheetData>
    <row r="1" spans="1:9" ht="24.6" customHeight="1" x14ac:dyDescent="0.3">
      <c r="A1" s="1" t="s">
        <v>0</v>
      </c>
      <c r="B1" s="1" t="s">
        <v>1</v>
      </c>
      <c r="C1" s="12" t="s">
        <v>2</v>
      </c>
      <c r="D1" s="1" t="s">
        <v>3</v>
      </c>
      <c r="E1" s="2"/>
      <c r="F1" s="2"/>
      <c r="G1" s="2"/>
      <c r="H1" s="2"/>
      <c r="I1" s="2"/>
    </row>
    <row r="2" spans="1:9" x14ac:dyDescent="0.3">
      <c r="A2" s="14" t="s">
        <v>4</v>
      </c>
      <c r="B2" s="14" t="s">
        <v>5</v>
      </c>
      <c r="C2" s="15">
        <v>1169</v>
      </c>
      <c r="D2" s="14">
        <v>67</v>
      </c>
      <c r="E2" s="2"/>
      <c r="F2" s="2"/>
      <c r="G2" s="16" t="s">
        <v>6</v>
      </c>
      <c r="H2" s="2"/>
      <c r="I2" s="2"/>
    </row>
    <row r="3" spans="1:9" ht="15.6" x14ac:dyDescent="0.3">
      <c r="A3" s="14" t="s">
        <v>7</v>
      </c>
      <c r="B3" s="14" t="s">
        <v>8</v>
      </c>
      <c r="C3" s="15">
        <v>5951</v>
      </c>
      <c r="D3" s="14">
        <v>22</v>
      </c>
      <c r="E3" s="2"/>
      <c r="F3" s="2"/>
      <c r="G3" s="17" t="s">
        <v>9</v>
      </c>
      <c r="H3" s="18" t="s">
        <v>0</v>
      </c>
      <c r="I3" s="18" t="s">
        <v>3</v>
      </c>
    </row>
    <row r="4" spans="1:9" ht="15.6" x14ac:dyDescent="0.3">
      <c r="A4" s="14" t="s">
        <v>10</v>
      </c>
      <c r="B4" s="14" t="s">
        <v>11</v>
      </c>
      <c r="C4" s="15">
        <v>2096</v>
      </c>
      <c r="D4" s="14">
        <v>49</v>
      </c>
      <c r="E4" s="2"/>
      <c r="F4" s="20" t="s">
        <v>43</v>
      </c>
      <c r="G4" s="13">
        <v>5951</v>
      </c>
      <c r="H4" s="19" t="str">
        <f>_xlfn.XLOOKUP(G4,C2:C6,A2:A6)</f>
        <v>Maria Dimitriou</v>
      </c>
      <c r="I4" s="19">
        <f>_xlfn.XLOOKUP(G4,C2:C6,D2:D6,"Not Found")</f>
        <v>22</v>
      </c>
    </row>
    <row r="5" spans="1:9" x14ac:dyDescent="0.3">
      <c r="A5" s="14" t="s">
        <v>12</v>
      </c>
      <c r="B5" s="14" t="s">
        <v>13</v>
      </c>
      <c r="C5" s="15">
        <v>7882</v>
      </c>
      <c r="D5" s="14">
        <v>45</v>
      </c>
      <c r="E5" s="2"/>
      <c r="F5" s="2"/>
      <c r="G5" s="2"/>
      <c r="H5" s="2"/>
      <c r="I5" s="2"/>
    </row>
    <row r="6" spans="1:9" x14ac:dyDescent="0.3">
      <c r="A6" s="14" t="s">
        <v>14</v>
      </c>
      <c r="B6" s="14" t="s">
        <v>15</v>
      </c>
      <c r="C6" s="15">
        <v>4870</v>
      </c>
      <c r="D6" s="14">
        <v>53</v>
      </c>
      <c r="E6" s="2"/>
      <c r="F6" s="2"/>
      <c r="G6" s="2"/>
      <c r="H6" s="2"/>
      <c r="I6" s="2"/>
    </row>
    <row r="7" spans="1:9" x14ac:dyDescent="0.3">
      <c r="A7" s="2"/>
      <c r="B7" s="2"/>
      <c r="C7" s="2"/>
      <c r="D7" s="2"/>
      <c r="E7" s="2"/>
      <c r="F7" s="2"/>
      <c r="G7" s="2"/>
      <c r="H7" s="2"/>
      <c r="I7" s="2"/>
    </row>
    <row r="8" spans="1:9" x14ac:dyDescent="0.3">
      <c r="A8" s="2"/>
      <c r="B8" s="2"/>
      <c r="C8" s="2"/>
      <c r="D8" s="2"/>
      <c r="E8" s="2"/>
      <c r="F8" s="2"/>
      <c r="G8" s="2"/>
      <c r="H8" s="2"/>
      <c r="I8"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A3FA-2D0C-4EA4-9DAB-35877CC107EC}">
  <dimension ref="A1:K1001"/>
  <sheetViews>
    <sheetView workbookViewId="0">
      <selection activeCell="M10" sqref="M10"/>
    </sheetView>
  </sheetViews>
  <sheetFormatPr defaultRowHeight="14.4" x14ac:dyDescent="0.3"/>
  <cols>
    <col min="1" max="1" width="19" customWidth="1"/>
    <col min="2" max="2" width="14.109375" customWidth="1"/>
    <col min="3" max="3" width="20.21875" style="7" customWidth="1"/>
    <col min="4" max="4" width="14.33203125" customWidth="1"/>
    <col min="5" max="5" width="20.88671875" customWidth="1"/>
    <col min="6" max="6" width="19" customWidth="1"/>
    <col min="9" max="9" width="14.6640625" customWidth="1"/>
    <col min="10" max="10" width="18.109375" customWidth="1"/>
    <col min="11" max="11" width="18.44140625" customWidth="1"/>
  </cols>
  <sheetData>
    <row r="1" spans="1:11" ht="18" x14ac:dyDescent="0.3">
      <c r="A1" s="3" t="s">
        <v>16</v>
      </c>
      <c r="B1" s="3" t="s">
        <v>17</v>
      </c>
      <c r="C1" s="5" t="s">
        <v>9</v>
      </c>
      <c r="D1" s="3" t="s">
        <v>18</v>
      </c>
      <c r="E1" s="3" t="s">
        <v>19</v>
      </c>
      <c r="F1" s="3" t="s">
        <v>20</v>
      </c>
    </row>
    <row r="2" spans="1:11" x14ac:dyDescent="0.3">
      <c r="A2" s="2">
        <v>916</v>
      </c>
      <c r="B2" s="2">
        <v>32</v>
      </c>
      <c r="C2" s="6">
        <v>18424</v>
      </c>
      <c r="D2" s="2">
        <v>48</v>
      </c>
      <c r="E2" s="2" t="s">
        <v>21</v>
      </c>
      <c r="F2" s="2" t="s">
        <v>22</v>
      </c>
    </row>
    <row r="3" spans="1:11" x14ac:dyDescent="0.3">
      <c r="A3" s="2">
        <v>96</v>
      </c>
      <c r="B3" s="2">
        <v>58</v>
      </c>
      <c r="C3" s="6">
        <v>15945</v>
      </c>
      <c r="D3" s="2">
        <v>54</v>
      </c>
      <c r="E3" s="2" t="s">
        <v>23</v>
      </c>
      <c r="F3" s="2" t="s">
        <v>22</v>
      </c>
    </row>
    <row r="4" spans="1:11" x14ac:dyDescent="0.3">
      <c r="A4" s="2">
        <v>819</v>
      </c>
      <c r="B4" s="2">
        <v>43</v>
      </c>
      <c r="C4" s="6">
        <v>15857</v>
      </c>
      <c r="D4" s="2">
        <v>36</v>
      </c>
      <c r="E4" s="2" t="s">
        <v>21</v>
      </c>
      <c r="F4" s="2" t="s">
        <v>22</v>
      </c>
    </row>
    <row r="5" spans="1:11" x14ac:dyDescent="0.3">
      <c r="A5" s="2">
        <v>888</v>
      </c>
      <c r="B5" s="2">
        <v>23</v>
      </c>
      <c r="C5" s="6">
        <v>15672</v>
      </c>
      <c r="D5" s="2">
        <v>48</v>
      </c>
      <c r="E5" s="2" t="s">
        <v>23</v>
      </c>
      <c r="F5" s="2" t="s">
        <v>22</v>
      </c>
    </row>
    <row r="6" spans="1:11" x14ac:dyDescent="0.3">
      <c r="A6" s="2">
        <v>638</v>
      </c>
      <c r="B6" s="2">
        <v>21</v>
      </c>
      <c r="C6" s="6">
        <v>15653</v>
      </c>
      <c r="D6" s="2">
        <v>60</v>
      </c>
      <c r="E6" s="2" t="s">
        <v>24</v>
      </c>
      <c r="F6" s="2" t="s">
        <v>22</v>
      </c>
    </row>
    <row r="7" spans="1:11" x14ac:dyDescent="0.3">
      <c r="A7" s="2">
        <v>918</v>
      </c>
      <c r="B7" s="2">
        <v>68</v>
      </c>
      <c r="C7" s="6">
        <v>14896</v>
      </c>
      <c r="D7" s="2">
        <v>6</v>
      </c>
      <c r="E7" s="2" t="s">
        <v>25</v>
      </c>
      <c r="F7" s="2" t="s">
        <v>22</v>
      </c>
    </row>
    <row r="8" spans="1:11" x14ac:dyDescent="0.3">
      <c r="A8" s="2">
        <v>375</v>
      </c>
      <c r="B8" s="2">
        <v>60</v>
      </c>
      <c r="C8" s="6">
        <v>14782</v>
      </c>
      <c r="D8" s="2">
        <v>60</v>
      </c>
      <c r="E8" s="2" t="s">
        <v>21</v>
      </c>
      <c r="F8" s="2" t="s">
        <v>22</v>
      </c>
    </row>
    <row r="9" spans="1:11" x14ac:dyDescent="0.3">
      <c r="A9" s="2">
        <v>237</v>
      </c>
      <c r="B9" s="2">
        <v>23</v>
      </c>
      <c r="C9" s="6">
        <v>14555</v>
      </c>
      <c r="D9" s="2">
        <v>6</v>
      </c>
      <c r="E9" s="2" t="s">
        <v>25</v>
      </c>
      <c r="F9" s="2" t="s">
        <v>22</v>
      </c>
    </row>
    <row r="10" spans="1:11" x14ac:dyDescent="0.3">
      <c r="A10" s="2">
        <v>64</v>
      </c>
      <c r="B10" s="2">
        <v>25</v>
      </c>
      <c r="C10" s="6">
        <v>14421</v>
      </c>
      <c r="D10" s="2">
        <v>48</v>
      </c>
      <c r="E10" s="2" t="s">
        <v>23</v>
      </c>
      <c r="F10" s="2" t="s">
        <v>22</v>
      </c>
      <c r="J10" s="8" t="s">
        <v>35</v>
      </c>
      <c r="K10" s="8" t="s">
        <v>34</v>
      </c>
    </row>
    <row r="11" spans="1:11" ht="15.6" x14ac:dyDescent="0.3">
      <c r="A11" s="2">
        <v>379</v>
      </c>
      <c r="B11" s="2">
        <v>57</v>
      </c>
      <c r="C11" s="6">
        <v>14318</v>
      </c>
      <c r="D11" s="2">
        <v>36</v>
      </c>
      <c r="E11" s="2" t="s">
        <v>25</v>
      </c>
      <c r="F11" s="2" t="s">
        <v>22</v>
      </c>
      <c r="I11" s="9" t="s">
        <v>22</v>
      </c>
      <c r="J11" s="4">
        <f>COUNTIF(F:F,I11)</f>
        <v>412</v>
      </c>
      <c r="K11" s="7">
        <f ca="1">SUMIF(F:F,I11,Table2[[#Headers],[Loan_Amount]])</f>
        <v>1613790</v>
      </c>
    </row>
    <row r="12" spans="1:11" ht="15.6" x14ac:dyDescent="0.3">
      <c r="A12" s="2">
        <v>745</v>
      </c>
      <c r="B12" s="2">
        <v>30</v>
      </c>
      <c r="C12" s="6">
        <v>14179</v>
      </c>
      <c r="D12" s="2">
        <v>39</v>
      </c>
      <c r="E12" s="2" t="s">
        <v>26</v>
      </c>
      <c r="F12" s="2" t="s">
        <v>22</v>
      </c>
      <c r="I12" s="9" t="s">
        <v>30</v>
      </c>
      <c r="J12">
        <f>COUNTIF(F:F,I12)</f>
        <v>275</v>
      </c>
      <c r="K12" s="7">
        <f>SUMIF(F:F,I12,C:C)</f>
        <v>1226689</v>
      </c>
    </row>
    <row r="13" spans="1:11" ht="15.6" x14ac:dyDescent="0.3">
      <c r="A13" s="2">
        <v>715</v>
      </c>
      <c r="B13" s="2">
        <v>27</v>
      </c>
      <c r="C13" s="6">
        <v>14027</v>
      </c>
      <c r="D13" s="2">
        <v>60</v>
      </c>
      <c r="E13" s="2" t="s">
        <v>25</v>
      </c>
      <c r="F13" s="2" t="s">
        <v>22</v>
      </c>
      <c r="I13" s="9" t="s">
        <v>33</v>
      </c>
      <c r="J13">
        <f>COUNTIF(F:F,I13)</f>
        <v>313</v>
      </c>
      <c r="K13" s="7">
        <f>SUMIF(F:F,I13,C:C)</f>
        <v>430779</v>
      </c>
    </row>
    <row r="14" spans="1:11" x14ac:dyDescent="0.3">
      <c r="A14" s="2">
        <v>374</v>
      </c>
      <c r="B14" s="2">
        <v>63</v>
      </c>
      <c r="C14" s="6">
        <v>13756</v>
      </c>
      <c r="D14" s="2">
        <v>60</v>
      </c>
      <c r="E14" s="2" t="s">
        <v>25</v>
      </c>
      <c r="F14" s="2" t="s">
        <v>22</v>
      </c>
    </row>
    <row r="15" spans="1:11" x14ac:dyDescent="0.3">
      <c r="A15" s="2">
        <v>382</v>
      </c>
      <c r="B15" s="2">
        <v>38</v>
      </c>
      <c r="C15" s="6">
        <v>12976</v>
      </c>
      <c r="D15" s="2">
        <v>18</v>
      </c>
      <c r="E15" s="2" t="s">
        <v>27</v>
      </c>
      <c r="F15" s="2" t="s">
        <v>22</v>
      </c>
    </row>
    <row r="16" spans="1:11" x14ac:dyDescent="0.3">
      <c r="A16" s="2">
        <v>922</v>
      </c>
      <c r="B16" s="2">
        <v>37</v>
      </c>
      <c r="C16" s="6">
        <v>12749</v>
      </c>
      <c r="D16" s="2">
        <v>48</v>
      </c>
      <c r="E16" s="2" t="s">
        <v>24</v>
      </c>
      <c r="F16" s="2" t="s">
        <v>22</v>
      </c>
    </row>
    <row r="17" spans="1:6" x14ac:dyDescent="0.3">
      <c r="A17" s="2">
        <v>764</v>
      </c>
      <c r="B17" s="2">
        <v>30</v>
      </c>
      <c r="C17" s="6">
        <v>12680</v>
      </c>
      <c r="D17" s="2">
        <v>21</v>
      </c>
      <c r="E17" s="2" t="s">
        <v>25</v>
      </c>
      <c r="F17" s="2" t="s">
        <v>22</v>
      </c>
    </row>
    <row r="18" spans="1:6" x14ac:dyDescent="0.3">
      <c r="A18" s="2">
        <v>88</v>
      </c>
      <c r="B18" s="2">
        <v>47</v>
      </c>
      <c r="C18" s="6">
        <v>12612</v>
      </c>
      <c r="D18" s="2">
        <v>36</v>
      </c>
      <c r="E18" s="2" t="s">
        <v>28</v>
      </c>
      <c r="F18" s="2" t="s">
        <v>22</v>
      </c>
    </row>
    <row r="19" spans="1:6" x14ac:dyDescent="0.3">
      <c r="A19" s="2">
        <v>19</v>
      </c>
      <c r="B19" s="2">
        <v>44</v>
      </c>
      <c r="C19" s="6">
        <v>12579</v>
      </c>
      <c r="D19" s="2">
        <v>24</v>
      </c>
      <c r="E19" s="2" t="s">
        <v>27</v>
      </c>
      <c r="F19" s="2" t="s">
        <v>22</v>
      </c>
    </row>
    <row r="20" spans="1:6" x14ac:dyDescent="0.3">
      <c r="A20" s="2">
        <v>564</v>
      </c>
      <c r="B20" s="2">
        <v>37</v>
      </c>
      <c r="C20" s="6">
        <v>12389</v>
      </c>
      <c r="D20" s="2">
        <v>36</v>
      </c>
      <c r="E20" s="2" t="s">
        <v>25</v>
      </c>
      <c r="F20" s="2" t="s">
        <v>22</v>
      </c>
    </row>
    <row r="21" spans="1:6" x14ac:dyDescent="0.3">
      <c r="A21" s="2">
        <v>616</v>
      </c>
      <c r="B21" s="2">
        <v>48</v>
      </c>
      <c r="C21" s="6">
        <v>12204</v>
      </c>
      <c r="D21" s="2">
        <v>48</v>
      </c>
      <c r="E21" s="2" t="s">
        <v>23</v>
      </c>
      <c r="F21" s="2" t="s">
        <v>22</v>
      </c>
    </row>
    <row r="22" spans="1:6" x14ac:dyDescent="0.3">
      <c r="A22" s="2">
        <v>273</v>
      </c>
      <c r="B22" s="2">
        <v>36</v>
      </c>
      <c r="C22" s="6">
        <v>12169</v>
      </c>
      <c r="D22" s="2">
        <v>48</v>
      </c>
      <c r="E22" s="2" t="s">
        <v>25</v>
      </c>
      <c r="F22" s="2" t="s">
        <v>22</v>
      </c>
    </row>
    <row r="23" spans="1:6" x14ac:dyDescent="0.3">
      <c r="A23" s="2">
        <v>275</v>
      </c>
      <c r="B23" s="2">
        <v>34</v>
      </c>
      <c r="C23" s="6">
        <v>11998</v>
      </c>
      <c r="D23" s="2">
        <v>30</v>
      </c>
      <c r="E23" s="2" t="s">
        <v>29</v>
      </c>
      <c r="F23" s="2" t="s">
        <v>22</v>
      </c>
    </row>
    <row r="24" spans="1:6" x14ac:dyDescent="0.3">
      <c r="A24" s="2">
        <v>106</v>
      </c>
      <c r="B24" s="2">
        <v>39</v>
      </c>
      <c r="C24" s="6">
        <v>11938</v>
      </c>
      <c r="D24" s="2">
        <v>24</v>
      </c>
      <c r="E24" s="2" t="s">
        <v>21</v>
      </c>
      <c r="F24" s="2" t="s">
        <v>22</v>
      </c>
    </row>
    <row r="25" spans="1:6" x14ac:dyDescent="0.3">
      <c r="A25" s="2">
        <v>833</v>
      </c>
      <c r="B25" s="2">
        <v>29</v>
      </c>
      <c r="C25" s="6">
        <v>11816</v>
      </c>
      <c r="D25" s="2">
        <v>45</v>
      </c>
      <c r="E25" s="2" t="s">
        <v>23</v>
      </c>
      <c r="F25" s="2" t="s">
        <v>22</v>
      </c>
    </row>
    <row r="26" spans="1:6" x14ac:dyDescent="0.3">
      <c r="A26" s="2">
        <v>396</v>
      </c>
      <c r="B26" s="2">
        <v>32</v>
      </c>
      <c r="C26" s="6">
        <v>11760</v>
      </c>
      <c r="D26" s="2">
        <v>39</v>
      </c>
      <c r="E26" s="2" t="s">
        <v>28</v>
      </c>
      <c r="F26" s="2" t="s">
        <v>22</v>
      </c>
    </row>
    <row r="27" spans="1:6" x14ac:dyDescent="0.3">
      <c r="A27" s="2">
        <v>334</v>
      </c>
      <c r="B27" s="2">
        <v>24</v>
      </c>
      <c r="C27" s="6">
        <v>11590</v>
      </c>
      <c r="D27" s="2">
        <v>48</v>
      </c>
      <c r="E27" s="2" t="s">
        <v>27</v>
      </c>
      <c r="F27" s="2" t="s">
        <v>22</v>
      </c>
    </row>
    <row r="28" spans="1:6" x14ac:dyDescent="0.3">
      <c r="A28" s="2">
        <v>737</v>
      </c>
      <c r="B28" s="2">
        <v>23</v>
      </c>
      <c r="C28" s="6">
        <v>11560</v>
      </c>
      <c r="D28" s="2">
        <v>24</v>
      </c>
      <c r="E28" s="2" t="s">
        <v>27</v>
      </c>
      <c r="F28" s="2" t="s">
        <v>22</v>
      </c>
    </row>
    <row r="29" spans="1:6" x14ac:dyDescent="0.3">
      <c r="A29" s="2">
        <v>432</v>
      </c>
      <c r="B29" s="2">
        <v>29</v>
      </c>
      <c r="C29" s="6">
        <v>11328</v>
      </c>
      <c r="D29" s="2">
        <v>24</v>
      </c>
      <c r="E29" s="2" t="s">
        <v>21</v>
      </c>
      <c r="F29" s="2" t="s">
        <v>22</v>
      </c>
    </row>
    <row r="30" spans="1:6" x14ac:dyDescent="0.3">
      <c r="A30" s="2">
        <v>451</v>
      </c>
      <c r="B30" s="2">
        <v>30</v>
      </c>
      <c r="C30" s="6">
        <v>11054</v>
      </c>
      <c r="D30" s="2">
        <v>36</v>
      </c>
      <c r="E30" s="2" t="s">
        <v>27</v>
      </c>
      <c r="F30" s="2" t="s">
        <v>22</v>
      </c>
    </row>
    <row r="31" spans="1:6" x14ac:dyDescent="0.3">
      <c r="A31" s="2">
        <v>954</v>
      </c>
      <c r="B31" s="2">
        <v>26</v>
      </c>
      <c r="C31" s="6">
        <v>10974</v>
      </c>
      <c r="D31" s="2">
        <v>36</v>
      </c>
      <c r="E31" s="2" t="s">
        <v>26</v>
      </c>
      <c r="F31" s="2" t="s">
        <v>22</v>
      </c>
    </row>
    <row r="32" spans="1:6" x14ac:dyDescent="0.3">
      <c r="A32" s="2">
        <v>227</v>
      </c>
      <c r="B32" s="2">
        <v>27</v>
      </c>
      <c r="C32" s="6">
        <v>10961</v>
      </c>
      <c r="D32" s="2">
        <v>48</v>
      </c>
      <c r="E32" s="2" t="s">
        <v>24</v>
      </c>
      <c r="F32" s="2" t="s">
        <v>22</v>
      </c>
    </row>
    <row r="33" spans="1:6" x14ac:dyDescent="0.3">
      <c r="A33" s="2">
        <v>855</v>
      </c>
      <c r="B33" s="2">
        <v>45</v>
      </c>
      <c r="C33" s="6">
        <v>10875</v>
      </c>
      <c r="D33" s="2">
        <v>36</v>
      </c>
      <c r="E33" s="2" t="s">
        <v>25</v>
      </c>
      <c r="F33" s="2" t="s">
        <v>22</v>
      </c>
    </row>
    <row r="34" spans="1:6" x14ac:dyDescent="0.3">
      <c r="A34" s="2">
        <v>286</v>
      </c>
      <c r="B34" s="2">
        <v>35</v>
      </c>
      <c r="C34" s="6">
        <v>10722</v>
      </c>
      <c r="D34" s="2">
        <v>47</v>
      </c>
      <c r="E34" s="2" t="s">
        <v>25</v>
      </c>
      <c r="F34" s="2" t="s">
        <v>22</v>
      </c>
    </row>
    <row r="35" spans="1:6" x14ac:dyDescent="0.3">
      <c r="A35" s="2">
        <v>206</v>
      </c>
      <c r="B35" s="2">
        <v>38</v>
      </c>
      <c r="C35" s="6">
        <v>10623</v>
      </c>
      <c r="D35" s="2">
        <v>30</v>
      </c>
      <c r="E35" s="2" t="s">
        <v>27</v>
      </c>
      <c r="F35" s="2" t="s">
        <v>22</v>
      </c>
    </row>
    <row r="36" spans="1:6" x14ac:dyDescent="0.3">
      <c r="A36" s="2">
        <v>903</v>
      </c>
      <c r="B36" s="2">
        <v>42</v>
      </c>
      <c r="C36" s="6">
        <v>10477</v>
      </c>
      <c r="D36" s="2">
        <v>36</v>
      </c>
      <c r="E36" s="2" t="s">
        <v>27</v>
      </c>
      <c r="F36" s="2" t="s">
        <v>22</v>
      </c>
    </row>
    <row r="37" spans="1:6" x14ac:dyDescent="0.3">
      <c r="A37" s="2">
        <v>673</v>
      </c>
      <c r="B37" s="2">
        <v>42</v>
      </c>
      <c r="C37" s="6">
        <v>10366</v>
      </c>
      <c r="D37" s="2">
        <v>60</v>
      </c>
      <c r="E37" s="2" t="s">
        <v>25</v>
      </c>
      <c r="F37" s="2" t="s">
        <v>22</v>
      </c>
    </row>
    <row r="38" spans="1:6" x14ac:dyDescent="0.3">
      <c r="A38" s="2">
        <v>928</v>
      </c>
      <c r="B38" s="2">
        <v>39</v>
      </c>
      <c r="C38" s="6">
        <v>10297</v>
      </c>
      <c r="D38" s="2">
        <v>48</v>
      </c>
      <c r="E38" s="2" t="s">
        <v>27</v>
      </c>
      <c r="F38" s="2" t="s">
        <v>22</v>
      </c>
    </row>
    <row r="39" spans="1:6" x14ac:dyDescent="0.3">
      <c r="A39" s="2">
        <v>658</v>
      </c>
      <c r="B39" s="2">
        <v>37</v>
      </c>
      <c r="C39" s="6">
        <v>10222</v>
      </c>
      <c r="D39" s="2">
        <v>48</v>
      </c>
      <c r="E39" s="2" t="s">
        <v>24</v>
      </c>
      <c r="F39" s="2" t="s">
        <v>22</v>
      </c>
    </row>
    <row r="40" spans="1:6" x14ac:dyDescent="0.3">
      <c r="A40" s="2">
        <v>135</v>
      </c>
      <c r="B40" s="2">
        <v>21</v>
      </c>
      <c r="C40" s="6">
        <v>10144</v>
      </c>
      <c r="D40" s="2">
        <v>60</v>
      </c>
      <c r="E40" s="2" t="s">
        <v>24</v>
      </c>
      <c r="F40" s="2" t="s">
        <v>22</v>
      </c>
    </row>
    <row r="41" spans="1:6" x14ac:dyDescent="0.3">
      <c r="A41" s="2">
        <v>305</v>
      </c>
      <c r="B41" s="2">
        <v>44</v>
      </c>
      <c r="C41" s="6">
        <v>10127</v>
      </c>
      <c r="D41" s="2">
        <v>48</v>
      </c>
      <c r="E41" s="2" t="s">
        <v>25</v>
      </c>
      <c r="F41" s="2" t="s">
        <v>22</v>
      </c>
    </row>
    <row r="42" spans="1:6" x14ac:dyDescent="0.3">
      <c r="A42" s="2">
        <v>296</v>
      </c>
      <c r="B42" s="2">
        <v>26</v>
      </c>
      <c r="C42" s="6">
        <v>9960</v>
      </c>
      <c r="D42" s="2">
        <v>48</v>
      </c>
      <c r="E42" s="2" t="s">
        <v>26</v>
      </c>
      <c r="F42" s="2" t="s">
        <v>22</v>
      </c>
    </row>
    <row r="43" spans="1:6" x14ac:dyDescent="0.3">
      <c r="A43" s="2">
        <v>685</v>
      </c>
      <c r="B43" s="2">
        <v>31</v>
      </c>
      <c r="C43" s="6">
        <v>9857</v>
      </c>
      <c r="D43" s="2">
        <v>36</v>
      </c>
      <c r="E43" s="2" t="s">
        <v>23</v>
      </c>
      <c r="F43" s="2" t="s">
        <v>22</v>
      </c>
    </row>
    <row r="44" spans="1:6" x14ac:dyDescent="0.3">
      <c r="A44" s="2">
        <v>813</v>
      </c>
      <c r="B44" s="2">
        <v>24</v>
      </c>
      <c r="C44" s="6">
        <v>9629</v>
      </c>
      <c r="D44" s="2">
        <v>36</v>
      </c>
      <c r="E44" s="2" t="s">
        <v>27</v>
      </c>
      <c r="F44" s="2" t="s">
        <v>22</v>
      </c>
    </row>
    <row r="45" spans="1:6" x14ac:dyDescent="0.3">
      <c r="A45" s="2">
        <v>181</v>
      </c>
      <c r="B45" s="2">
        <v>28</v>
      </c>
      <c r="C45" s="6">
        <v>9572</v>
      </c>
      <c r="D45" s="2">
        <v>36</v>
      </c>
      <c r="E45" s="2" t="s">
        <v>23</v>
      </c>
      <c r="F45" s="2" t="s">
        <v>22</v>
      </c>
    </row>
    <row r="46" spans="1:6" x14ac:dyDescent="0.3">
      <c r="A46" s="2">
        <v>58</v>
      </c>
      <c r="B46" s="2">
        <v>31</v>
      </c>
      <c r="C46" s="6">
        <v>9566</v>
      </c>
      <c r="D46" s="2">
        <v>36</v>
      </c>
      <c r="E46" s="2" t="s">
        <v>24</v>
      </c>
      <c r="F46" s="2" t="s">
        <v>22</v>
      </c>
    </row>
    <row r="47" spans="1:6" x14ac:dyDescent="0.3">
      <c r="A47" s="2">
        <v>79</v>
      </c>
      <c r="B47" s="2">
        <v>39</v>
      </c>
      <c r="C47" s="6">
        <v>9436</v>
      </c>
      <c r="D47" s="2">
        <v>54</v>
      </c>
      <c r="E47" s="2" t="s">
        <v>27</v>
      </c>
      <c r="F47" s="2" t="s">
        <v>22</v>
      </c>
    </row>
    <row r="48" spans="1:6" x14ac:dyDescent="0.3">
      <c r="A48" s="2">
        <v>292</v>
      </c>
      <c r="B48" s="2">
        <v>28</v>
      </c>
      <c r="C48" s="6">
        <v>9398</v>
      </c>
      <c r="D48" s="2">
        <v>36</v>
      </c>
      <c r="E48" s="2" t="s">
        <v>27</v>
      </c>
      <c r="F48" s="2" t="s">
        <v>22</v>
      </c>
    </row>
    <row r="49" spans="1:6" x14ac:dyDescent="0.3">
      <c r="A49" s="2">
        <v>809</v>
      </c>
      <c r="B49" s="2">
        <v>55</v>
      </c>
      <c r="C49" s="6">
        <v>9283</v>
      </c>
      <c r="D49" s="2">
        <v>42</v>
      </c>
      <c r="E49" s="2" t="s">
        <v>27</v>
      </c>
      <c r="F49" s="2" t="s">
        <v>22</v>
      </c>
    </row>
    <row r="50" spans="1:6" x14ac:dyDescent="0.3">
      <c r="A50" s="2">
        <v>882</v>
      </c>
      <c r="B50" s="2">
        <v>48</v>
      </c>
      <c r="C50" s="6">
        <v>9277</v>
      </c>
      <c r="D50" s="2">
        <v>24</v>
      </c>
      <c r="E50" s="2" t="s">
        <v>27</v>
      </c>
      <c r="F50" s="2" t="s">
        <v>22</v>
      </c>
    </row>
    <row r="51" spans="1:6" x14ac:dyDescent="0.3">
      <c r="A51" s="2">
        <v>806</v>
      </c>
      <c r="B51" s="2">
        <v>24</v>
      </c>
      <c r="C51" s="6">
        <v>9271</v>
      </c>
      <c r="D51" s="2">
        <v>36</v>
      </c>
      <c r="E51" s="2" t="s">
        <v>25</v>
      </c>
      <c r="F51" s="2" t="s">
        <v>22</v>
      </c>
    </row>
    <row r="52" spans="1:6" x14ac:dyDescent="0.3">
      <c r="A52" s="2">
        <v>617</v>
      </c>
      <c r="B52" s="2">
        <v>27</v>
      </c>
      <c r="C52" s="6">
        <v>9157</v>
      </c>
      <c r="D52" s="2">
        <v>60</v>
      </c>
      <c r="E52" s="2" t="s">
        <v>24</v>
      </c>
      <c r="F52" s="2" t="s">
        <v>22</v>
      </c>
    </row>
    <row r="53" spans="1:6" x14ac:dyDescent="0.3">
      <c r="A53" s="2">
        <v>6</v>
      </c>
      <c r="B53" s="2">
        <v>35</v>
      </c>
      <c r="C53" s="6">
        <v>9055</v>
      </c>
      <c r="D53" s="2">
        <v>36</v>
      </c>
      <c r="E53" s="2" t="s">
        <v>28</v>
      </c>
      <c r="F53" s="2" t="s">
        <v>22</v>
      </c>
    </row>
    <row r="54" spans="1:6" x14ac:dyDescent="0.3">
      <c r="A54" s="2">
        <v>497</v>
      </c>
      <c r="B54" s="2">
        <v>29</v>
      </c>
      <c r="C54" s="6">
        <v>9034</v>
      </c>
      <c r="D54" s="2">
        <v>36</v>
      </c>
      <c r="E54" s="2" t="s">
        <v>26</v>
      </c>
      <c r="F54" s="2" t="s">
        <v>22</v>
      </c>
    </row>
    <row r="55" spans="1:6" x14ac:dyDescent="0.3">
      <c r="A55" s="2">
        <v>269</v>
      </c>
      <c r="B55" s="2">
        <v>45</v>
      </c>
      <c r="C55" s="6">
        <v>8978</v>
      </c>
      <c r="D55" s="2">
        <v>14</v>
      </c>
      <c r="E55" s="2" t="s">
        <v>25</v>
      </c>
      <c r="F55" s="2" t="s">
        <v>22</v>
      </c>
    </row>
    <row r="56" spans="1:6" x14ac:dyDescent="0.3">
      <c r="A56" s="2">
        <v>896</v>
      </c>
      <c r="B56" s="2">
        <v>31</v>
      </c>
      <c r="C56" s="6">
        <v>8947</v>
      </c>
      <c r="D56" s="2">
        <v>36</v>
      </c>
      <c r="E56" s="2" t="s">
        <v>27</v>
      </c>
      <c r="F56" s="2" t="s">
        <v>22</v>
      </c>
    </row>
    <row r="57" spans="1:6" x14ac:dyDescent="0.3">
      <c r="A57" s="2">
        <v>550</v>
      </c>
      <c r="B57" s="2">
        <v>35</v>
      </c>
      <c r="C57" s="6">
        <v>8858</v>
      </c>
      <c r="D57" s="2">
        <v>48</v>
      </c>
      <c r="E57" s="2" t="s">
        <v>27</v>
      </c>
      <c r="F57" s="2" t="s">
        <v>22</v>
      </c>
    </row>
    <row r="58" spans="1:6" x14ac:dyDescent="0.3">
      <c r="A58" s="2">
        <v>403</v>
      </c>
      <c r="B58" s="2">
        <v>27</v>
      </c>
      <c r="C58" s="6">
        <v>8648</v>
      </c>
      <c r="D58" s="2">
        <v>24</v>
      </c>
      <c r="E58" s="2" t="s">
        <v>23</v>
      </c>
      <c r="F58" s="2" t="s">
        <v>22</v>
      </c>
    </row>
    <row r="59" spans="1:6" x14ac:dyDescent="0.3">
      <c r="A59" s="2">
        <v>137</v>
      </c>
      <c r="B59" s="2">
        <v>27</v>
      </c>
      <c r="C59" s="6">
        <v>8613</v>
      </c>
      <c r="D59" s="2">
        <v>27</v>
      </c>
      <c r="E59" s="2" t="s">
        <v>27</v>
      </c>
      <c r="F59" s="2" t="s">
        <v>22</v>
      </c>
    </row>
    <row r="60" spans="1:6" x14ac:dyDescent="0.3">
      <c r="A60" s="2">
        <v>510</v>
      </c>
      <c r="B60" s="2">
        <v>45</v>
      </c>
      <c r="C60" s="6">
        <v>8588</v>
      </c>
      <c r="D60" s="2">
        <v>39</v>
      </c>
      <c r="E60" s="2" t="s">
        <v>27</v>
      </c>
      <c r="F60" s="2" t="s">
        <v>22</v>
      </c>
    </row>
    <row r="61" spans="1:6" x14ac:dyDescent="0.3">
      <c r="A61" s="2">
        <v>131</v>
      </c>
      <c r="B61" s="2">
        <v>24</v>
      </c>
      <c r="C61" s="6">
        <v>8487</v>
      </c>
      <c r="D61" s="2">
        <v>48</v>
      </c>
      <c r="E61" s="2" t="s">
        <v>25</v>
      </c>
      <c r="F61" s="2" t="s">
        <v>22</v>
      </c>
    </row>
    <row r="62" spans="1:6" x14ac:dyDescent="0.3">
      <c r="A62" s="2">
        <v>418</v>
      </c>
      <c r="B62" s="2">
        <v>23</v>
      </c>
      <c r="C62" s="6">
        <v>8471</v>
      </c>
      <c r="D62" s="2">
        <v>18</v>
      </c>
      <c r="E62" s="2" t="s">
        <v>28</v>
      </c>
      <c r="F62" s="2" t="s">
        <v>22</v>
      </c>
    </row>
    <row r="63" spans="1:6" x14ac:dyDescent="0.3">
      <c r="A63" s="2">
        <v>981</v>
      </c>
      <c r="B63" s="2">
        <v>49</v>
      </c>
      <c r="C63" s="6">
        <v>8386</v>
      </c>
      <c r="D63" s="2">
        <v>30</v>
      </c>
      <c r="E63" s="2" t="s">
        <v>26</v>
      </c>
      <c r="F63" s="2" t="s">
        <v>22</v>
      </c>
    </row>
    <row r="64" spans="1:6" x14ac:dyDescent="0.3">
      <c r="A64" s="2">
        <v>946</v>
      </c>
      <c r="B64" s="2">
        <v>30</v>
      </c>
      <c r="C64" s="6">
        <v>8358</v>
      </c>
      <c r="D64" s="2">
        <v>48</v>
      </c>
      <c r="E64" s="2" t="s">
        <v>25</v>
      </c>
      <c r="F64" s="2" t="s">
        <v>22</v>
      </c>
    </row>
    <row r="65" spans="1:6" x14ac:dyDescent="0.3">
      <c r="A65" s="2">
        <v>829</v>
      </c>
      <c r="B65" s="2">
        <v>47</v>
      </c>
      <c r="C65" s="6">
        <v>8335</v>
      </c>
      <c r="D65" s="2">
        <v>36</v>
      </c>
      <c r="E65" s="2" t="s">
        <v>27</v>
      </c>
      <c r="F65" s="2" t="s">
        <v>22</v>
      </c>
    </row>
    <row r="66" spans="1:6" x14ac:dyDescent="0.3">
      <c r="A66" s="2">
        <v>492</v>
      </c>
      <c r="B66" s="2">
        <v>42</v>
      </c>
      <c r="C66" s="6">
        <v>8318</v>
      </c>
      <c r="D66" s="2">
        <v>27</v>
      </c>
      <c r="E66" s="2" t="s">
        <v>23</v>
      </c>
      <c r="F66" s="2" t="s">
        <v>22</v>
      </c>
    </row>
    <row r="67" spans="1:6" x14ac:dyDescent="0.3">
      <c r="A67" s="2">
        <v>984</v>
      </c>
      <c r="B67" s="2">
        <v>26</v>
      </c>
      <c r="C67" s="6">
        <v>8229</v>
      </c>
      <c r="D67" s="2">
        <v>36</v>
      </c>
      <c r="E67" s="2" t="s">
        <v>27</v>
      </c>
      <c r="F67" s="2" t="s">
        <v>22</v>
      </c>
    </row>
    <row r="68" spans="1:6" x14ac:dyDescent="0.3">
      <c r="A68" s="2">
        <v>71</v>
      </c>
      <c r="B68" s="2">
        <v>30</v>
      </c>
      <c r="C68" s="6">
        <v>8133</v>
      </c>
      <c r="D68" s="2">
        <v>36</v>
      </c>
      <c r="E68" s="2" t="s">
        <v>27</v>
      </c>
      <c r="F68" s="2" t="s">
        <v>22</v>
      </c>
    </row>
    <row r="69" spans="1:6" x14ac:dyDescent="0.3">
      <c r="A69" s="2">
        <v>654</v>
      </c>
      <c r="B69" s="2">
        <v>42</v>
      </c>
      <c r="C69" s="6">
        <v>8086</v>
      </c>
      <c r="D69" s="2">
        <v>36</v>
      </c>
      <c r="E69" s="2" t="s">
        <v>25</v>
      </c>
      <c r="F69" s="2" t="s">
        <v>22</v>
      </c>
    </row>
    <row r="70" spans="1:6" x14ac:dyDescent="0.3">
      <c r="A70" s="2">
        <v>18</v>
      </c>
      <c r="B70" s="2">
        <v>25</v>
      </c>
      <c r="C70" s="6">
        <v>8072</v>
      </c>
      <c r="D70" s="2">
        <v>30</v>
      </c>
      <c r="E70" s="2" t="s">
        <v>23</v>
      </c>
      <c r="F70" s="2" t="s">
        <v>22</v>
      </c>
    </row>
    <row r="71" spans="1:6" x14ac:dyDescent="0.3">
      <c r="A71" s="2">
        <v>772</v>
      </c>
      <c r="B71" s="2">
        <v>25</v>
      </c>
      <c r="C71" s="6">
        <v>8065</v>
      </c>
      <c r="D71" s="2">
        <v>36</v>
      </c>
      <c r="E71" s="2" t="s">
        <v>28</v>
      </c>
      <c r="F71" s="2" t="s">
        <v>22</v>
      </c>
    </row>
    <row r="72" spans="1:6" x14ac:dyDescent="0.3">
      <c r="A72" s="2">
        <v>646</v>
      </c>
      <c r="B72" s="2">
        <v>27</v>
      </c>
      <c r="C72" s="6">
        <v>7980</v>
      </c>
      <c r="D72" s="2">
        <v>36</v>
      </c>
      <c r="E72" s="2" t="s">
        <v>23</v>
      </c>
      <c r="F72" s="2" t="s">
        <v>22</v>
      </c>
    </row>
    <row r="73" spans="1:6" x14ac:dyDescent="0.3">
      <c r="A73" s="2">
        <v>526</v>
      </c>
      <c r="B73" s="2">
        <v>30</v>
      </c>
      <c r="C73" s="6">
        <v>7966</v>
      </c>
      <c r="D73" s="2">
        <v>26</v>
      </c>
      <c r="E73" s="2" t="s">
        <v>27</v>
      </c>
      <c r="F73" s="2" t="s">
        <v>22</v>
      </c>
    </row>
    <row r="74" spans="1:6" x14ac:dyDescent="0.3">
      <c r="A74" s="2">
        <v>4</v>
      </c>
      <c r="B74" s="2">
        <v>45</v>
      </c>
      <c r="C74" s="6">
        <v>7882</v>
      </c>
      <c r="D74" s="2">
        <v>42</v>
      </c>
      <c r="E74" s="2" t="s">
        <v>26</v>
      </c>
      <c r="F74" s="2" t="s">
        <v>22</v>
      </c>
    </row>
    <row r="75" spans="1:6" x14ac:dyDescent="0.3">
      <c r="A75" s="2">
        <v>228</v>
      </c>
      <c r="B75" s="2">
        <v>53</v>
      </c>
      <c r="C75" s="6">
        <v>7865</v>
      </c>
      <c r="D75" s="2">
        <v>12</v>
      </c>
      <c r="E75" s="2" t="s">
        <v>26</v>
      </c>
      <c r="F75" s="2" t="s">
        <v>22</v>
      </c>
    </row>
    <row r="76" spans="1:6" x14ac:dyDescent="0.3">
      <c r="A76" s="2">
        <v>114</v>
      </c>
      <c r="B76" s="2">
        <v>25</v>
      </c>
      <c r="C76" s="6">
        <v>7855</v>
      </c>
      <c r="D76" s="2">
        <v>36</v>
      </c>
      <c r="E76" s="2" t="s">
        <v>25</v>
      </c>
      <c r="F76" s="2" t="s">
        <v>22</v>
      </c>
    </row>
    <row r="77" spans="1:6" x14ac:dyDescent="0.3">
      <c r="A77" s="2">
        <v>890</v>
      </c>
      <c r="B77" s="2">
        <v>40</v>
      </c>
      <c r="C77" s="6">
        <v>7824</v>
      </c>
      <c r="D77" s="2">
        <v>28</v>
      </c>
      <c r="E77" s="2" t="s">
        <v>27</v>
      </c>
      <c r="F77" s="2" t="s">
        <v>22</v>
      </c>
    </row>
    <row r="78" spans="1:6" x14ac:dyDescent="0.3">
      <c r="A78" s="2">
        <v>881</v>
      </c>
      <c r="B78" s="2">
        <v>38</v>
      </c>
      <c r="C78" s="6">
        <v>7814</v>
      </c>
      <c r="D78" s="2">
        <v>24</v>
      </c>
      <c r="E78" s="2" t="s">
        <v>27</v>
      </c>
      <c r="F78" s="2" t="s">
        <v>22</v>
      </c>
    </row>
    <row r="79" spans="1:6" x14ac:dyDescent="0.3">
      <c r="A79" s="2">
        <v>539</v>
      </c>
      <c r="B79" s="2">
        <v>42</v>
      </c>
      <c r="C79" s="6">
        <v>7763</v>
      </c>
      <c r="D79" s="2">
        <v>48</v>
      </c>
      <c r="E79" s="2" t="s">
        <v>25</v>
      </c>
      <c r="F79" s="2" t="s">
        <v>22</v>
      </c>
    </row>
    <row r="80" spans="1:6" x14ac:dyDescent="0.3">
      <c r="A80" s="2">
        <v>154</v>
      </c>
      <c r="B80" s="2">
        <v>29</v>
      </c>
      <c r="C80" s="6">
        <v>7758</v>
      </c>
      <c r="D80" s="2">
        <v>24</v>
      </c>
      <c r="E80" s="2" t="s">
        <v>27</v>
      </c>
      <c r="F80" s="2" t="s">
        <v>22</v>
      </c>
    </row>
    <row r="81" spans="1:6" x14ac:dyDescent="0.3">
      <c r="A81" s="2">
        <v>109</v>
      </c>
      <c r="B81" s="2">
        <v>30</v>
      </c>
      <c r="C81" s="6">
        <v>7721</v>
      </c>
      <c r="D81" s="2">
        <v>24</v>
      </c>
      <c r="E81" s="2" t="s">
        <v>26</v>
      </c>
      <c r="F81" s="2" t="s">
        <v>22</v>
      </c>
    </row>
    <row r="82" spans="1:6" x14ac:dyDescent="0.3">
      <c r="A82" s="2">
        <v>376</v>
      </c>
      <c r="B82" s="2">
        <v>37</v>
      </c>
      <c r="C82" s="6">
        <v>7685</v>
      </c>
      <c r="D82" s="2">
        <v>48</v>
      </c>
      <c r="E82" s="2" t="s">
        <v>23</v>
      </c>
      <c r="F82" s="2" t="s">
        <v>22</v>
      </c>
    </row>
    <row r="83" spans="1:6" x14ac:dyDescent="0.3">
      <c r="A83" s="2">
        <v>871</v>
      </c>
      <c r="B83" s="2">
        <v>40</v>
      </c>
      <c r="C83" s="6">
        <v>7678</v>
      </c>
      <c r="D83" s="2">
        <v>36</v>
      </c>
      <c r="E83" s="2" t="s">
        <v>26</v>
      </c>
      <c r="F83" s="2" t="s">
        <v>22</v>
      </c>
    </row>
    <row r="84" spans="1:6" x14ac:dyDescent="0.3">
      <c r="A84" s="2">
        <v>295</v>
      </c>
      <c r="B84" s="2">
        <v>46</v>
      </c>
      <c r="C84" s="6">
        <v>7629</v>
      </c>
      <c r="D84" s="2">
        <v>48</v>
      </c>
      <c r="E84" s="2" t="s">
        <v>23</v>
      </c>
      <c r="F84" s="2" t="s">
        <v>22</v>
      </c>
    </row>
    <row r="85" spans="1:6" x14ac:dyDescent="0.3">
      <c r="A85" s="2">
        <v>716</v>
      </c>
      <c r="B85" s="2">
        <v>63</v>
      </c>
      <c r="C85" s="6">
        <v>7596</v>
      </c>
      <c r="D85" s="2">
        <v>30</v>
      </c>
      <c r="E85" s="2" t="s">
        <v>27</v>
      </c>
      <c r="F85" s="2" t="s">
        <v>22</v>
      </c>
    </row>
    <row r="86" spans="1:6" x14ac:dyDescent="0.3">
      <c r="A86" s="2">
        <v>288</v>
      </c>
      <c r="B86" s="2">
        <v>31</v>
      </c>
      <c r="C86" s="6">
        <v>7582</v>
      </c>
      <c r="D86" s="2">
        <v>48</v>
      </c>
      <c r="E86" s="2" t="s">
        <v>21</v>
      </c>
      <c r="F86" s="2" t="s">
        <v>22</v>
      </c>
    </row>
    <row r="87" spans="1:6" x14ac:dyDescent="0.3">
      <c r="A87" s="2">
        <v>797</v>
      </c>
      <c r="B87" s="2">
        <v>51</v>
      </c>
      <c r="C87" s="6">
        <v>7511</v>
      </c>
      <c r="D87" s="2">
        <v>18</v>
      </c>
      <c r="E87" s="2" t="s">
        <v>27</v>
      </c>
      <c r="F87" s="2" t="s">
        <v>22</v>
      </c>
    </row>
    <row r="88" spans="1:6" x14ac:dyDescent="0.3">
      <c r="A88" s="2">
        <v>176</v>
      </c>
      <c r="B88" s="2">
        <v>53</v>
      </c>
      <c r="C88" s="6">
        <v>7485</v>
      </c>
      <c r="D88" s="2">
        <v>30</v>
      </c>
      <c r="E88" s="2" t="s">
        <v>27</v>
      </c>
      <c r="F88" s="2" t="s">
        <v>22</v>
      </c>
    </row>
    <row r="89" spans="1:6" x14ac:dyDescent="0.3">
      <c r="A89" s="2">
        <v>651</v>
      </c>
      <c r="B89" s="2">
        <v>50</v>
      </c>
      <c r="C89" s="6">
        <v>7476</v>
      </c>
      <c r="D89" s="2">
        <v>48</v>
      </c>
      <c r="E89" s="2" t="s">
        <v>28</v>
      </c>
      <c r="F89" s="2" t="s">
        <v>22</v>
      </c>
    </row>
    <row r="90" spans="1:6" x14ac:dyDescent="0.3">
      <c r="A90" s="2">
        <v>805</v>
      </c>
      <c r="B90" s="2">
        <v>24</v>
      </c>
      <c r="C90" s="6">
        <v>7472</v>
      </c>
      <c r="D90" s="2">
        <v>12</v>
      </c>
      <c r="E90" s="2" t="s">
        <v>25</v>
      </c>
      <c r="F90" s="2" t="s">
        <v>22</v>
      </c>
    </row>
    <row r="91" spans="1:6" x14ac:dyDescent="0.3">
      <c r="A91" s="2">
        <v>816</v>
      </c>
      <c r="B91" s="2">
        <v>54</v>
      </c>
      <c r="C91" s="6">
        <v>7432</v>
      </c>
      <c r="D91" s="2">
        <v>36</v>
      </c>
      <c r="E91" s="2" t="s">
        <v>25</v>
      </c>
      <c r="F91" s="2" t="s">
        <v>22</v>
      </c>
    </row>
    <row r="92" spans="1:6" x14ac:dyDescent="0.3">
      <c r="A92" s="2">
        <v>256</v>
      </c>
      <c r="B92" s="2">
        <v>27</v>
      </c>
      <c r="C92" s="6">
        <v>7418</v>
      </c>
      <c r="D92" s="2">
        <v>60</v>
      </c>
      <c r="E92" s="2" t="s">
        <v>24</v>
      </c>
      <c r="F92" s="2" t="s">
        <v>22</v>
      </c>
    </row>
    <row r="93" spans="1:6" x14ac:dyDescent="0.3">
      <c r="A93" s="2">
        <v>869</v>
      </c>
      <c r="B93" s="2">
        <v>37</v>
      </c>
      <c r="C93" s="6">
        <v>7409</v>
      </c>
      <c r="D93" s="2">
        <v>36</v>
      </c>
      <c r="E93" s="2" t="s">
        <v>23</v>
      </c>
      <c r="F93" s="2" t="s">
        <v>22</v>
      </c>
    </row>
    <row r="94" spans="1:6" x14ac:dyDescent="0.3">
      <c r="A94" s="2">
        <v>333</v>
      </c>
      <c r="B94" s="2">
        <v>24</v>
      </c>
      <c r="C94" s="6">
        <v>7408</v>
      </c>
      <c r="D94" s="2">
        <v>60</v>
      </c>
      <c r="E94" s="2" t="s">
        <v>25</v>
      </c>
      <c r="F94" s="2" t="s">
        <v>22</v>
      </c>
    </row>
    <row r="95" spans="1:6" x14ac:dyDescent="0.3">
      <c r="A95" s="2">
        <v>972</v>
      </c>
      <c r="B95" s="2">
        <v>43</v>
      </c>
      <c r="C95" s="6">
        <v>7393</v>
      </c>
      <c r="D95" s="2">
        <v>24</v>
      </c>
      <c r="E95" s="2" t="s">
        <v>25</v>
      </c>
      <c r="F95" s="2" t="s">
        <v>22</v>
      </c>
    </row>
    <row r="96" spans="1:6" x14ac:dyDescent="0.3">
      <c r="A96" s="2">
        <v>388</v>
      </c>
      <c r="B96" s="2">
        <v>40</v>
      </c>
      <c r="C96" s="6">
        <v>7374</v>
      </c>
      <c r="D96" s="2">
        <v>18</v>
      </c>
      <c r="E96" s="2" t="s">
        <v>26</v>
      </c>
      <c r="F96" s="2" t="s">
        <v>22</v>
      </c>
    </row>
    <row r="97" spans="1:6" x14ac:dyDescent="0.3">
      <c r="A97" s="2">
        <v>164</v>
      </c>
      <c r="B97" s="2">
        <v>70</v>
      </c>
      <c r="C97" s="6">
        <v>7308</v>
      </c>
      <c r="D97" s="2">
        <v>10</v>
      </c>
      <c r="E97" s="2" t="s">
        <v>25</v>
      </c>
      <c r="F97" s="2" t="s">
        <v>22</v>
      </c>
    </row>
    <row r="98" spans="1:6" x14ac:dyDescent="0.3">
      <c r="A98" s="2">
        <v>974</v>
      </c>
      <c r="B98" s="2">
        <v>36</v>
      </c>
      <c r="C98" s="6">
        <v>7297</v>
      </c>
      <c r="D98" s="2">
        <v>60</v>
      </c>
      <c r="E98" s="2" t="s">
        <v>23</v>
      </c>
      <c r="F98" s="2" t="s">
        <v>22</v>
      </c>
    </row>
    <row r="99" spans="1:6" x14ac:dyDescent="0.3">
      <c r="A99" s="2">
        <v>412</v>
      </c>
      <c r="B99" s="2">
        <v>35</v>
      </c>
      <c r="C99" s="6">
        <v>7253</v>
      </c>
      <c r="D99" s="2">
        <v>33</v>
      </c>
      <c r="E99" s="2" t="s">
        <v>27</v>
      </c>
      <c r="F99" s="2" t="s">
        <v>22</v>
      </c>
    </row>
    <row r="100" spans="1:6" x14ac:dyDescent="0.3">
      <c r="A100" s="2">
        <v>468</v>
      </c>
      <c r="B100" s="2">
        <v>32</v>
      </c>
      <c r="C100" s="6">
        <v>7238</v>
      </c>
      <c r="D100" s="2">
        <v>48</v>
      </c>
      <c r="E100" s="2" t="s">
        <v>24</v>
      </c>
      <c r="F100" s="2" t="s">
        <v>22</v>
      </c>
    </row>
    <row r="101" spans="1:6" x14ac:dyDescent="0.3">
      <c r="A101" s="2">
        <v>49</v>
      </c>
      <c r="B101" s="2">
        <v>39</v>
      </c>
      <c r="C101" s="6">
        <v>7228</v>
      </c>
      <c r="D101" s="2">
        <v>11</v>
      </c>
      <c r="E101" s="2" t="s">
        <v>25</v>
      </c>
      <c r="F101" s="2" t="s">
        <v>22</v>
      </c>
    </row>
    <row r="102" spans="1:6" x14ac:dyDescent="0.3">
      <c r="A102" s="2">
        <v>117</v>
      </c>
      <c r="B102" s="2">
        <v>30</v>
      </c>
      <c r="C102" s="6">
        <v>7174</v>
      </c>
      <c r="D102" s="2">
        <v>42</v>
      </c>
      <c r="E102" s="2" t="s">
        <v>24</v>
      </c>
      <c r="F102" s="2" t="s">
        <v>22</v>
      </c>
    </row>
    <row r="103" spans="1:6" x14ac:dyDescent="0.3">
      <c r="A103" s="2">
        <v>969</v>
      </c>
      <c r="B103" s="2">
        <v>29</v>
      </c>
      <c r="C103" s="6">
        <v>7166</v>
      </c>
      <c r="D103" s="2">
        <v>42</v>
      </c>
      <c r="E103" s="2" t="s">
        <v>24</v>
      </c>
      <c r="F103" s="2" t="s">
        <v>22</v>
      </c>
    </row>
    <row r="104" spans="1:6" x14ac:dyDescent="0.3">
      <c r="A104" s="2">
        <v>518</v>
      </c>
      <c r="B104" s="2">
        <v>23</v>
      </c>
      <c r="C104" s="6">
        <v>7127</v>
      </c>
      <c r="D104" s="2">
        <v>36</v>
      </c>
      <c r="E104" s="2" t="s">
        <v>26</v>
      </c>
      <c r="F104" s="2" t="s">
        <v>22</v>
      </c>
    </row>
    <row r="105" spans="1:6" x14ac:dyDescent="0.3">
      <c r="A105" s="2">
        <v>523</v>
      </c>
      <c r="B105" s="2">
        <v>53</v>
      </c>
      <c r="C105" s="6">
        <v>7119</v>
      </c>
      <c r="D105" s="2">
        <v>48</v>
      </c>
      <c r="E105" s="2" t="s">
        <v>26</v>
      </c>
      <c r="F105" s="2" t="s">
        <v>22</v>
      </c>
    </row>
    <row r="106" spans="1:6" x14ac:dyDescent="0.3">
      <c r="A106" s="2">
        <v>100</v>
      </c>
      <c r="B106" s="2">
        <v>36</v>
      </c>
      <c r="C106" s="6">
        <v>7057</v>
      </c>
      <c r="D106" s="2">
        <v>20</v>
      </c>
      <c r="E106" s="2" t="s">
        <v>27</v>
      </c>
      <c r="F106" s="2" t="s">
        <v>22</v>
      </c>
    </row>
    <row r="107" spans="1:6" x14ac:dyDescent="0.3">
      <c r="A107" s="2">
        <v>553</v>
      </c>
      <c r="B107" s="2">
        <v>34</v>
      </c>
      <c r="C107" s="6">
        <v>6999</v>
      </c>
      <c r="D107" s="2">
        <v>48</v>
      </c>
      <c r="E107" s="2" t="s">
        <v>24</v>
      </c>
      <c r="F107" s="2" t="s">
        <v>30</v>
      </c>
    </row>
    <row r="108" spans="1:6" x14ac:dyDescent="0.3">
      <c r="A108" s="2">
        <v>155</v>
      </c>
      <c r="B108" s="2">
        <v>36</v>
      </c>
      <c r="C108" s="6">
        <v>6967</v>
      </c>
      <c r="D108" s="2">
        <v>24</v>
      </c>
      <c r="E108" s="2" t="s">
        <v>23</v>
      </c>
      <c r="F108" s="2" t="s">
        <v>30</v>
      </c>
    </row>
    <row r="109" spans="1:6" x14ac:dyDescent="0.3">
      <c r="A109" s="2">
        <v>8</v>
      </c>
      <c r="B109" s="2">
        <v>35</v>
      </c>
      <c r="C109" s="6">
        <v>6948</v>
      </c>
      <c r="D109" s="2">
        <v>36</v>
      </c>
      <c r="E109" s="2" t="s">
        <v>27</v>
      </c>
      <c r="F109" s="2" t="s">
        <v>30</v>
      </c>
    </row>
    <row r="110" spans="1:6" x14ac:dyDescent="0.3">
      <c r="A110" s="2">
        <v>132</v>
      </c>
      <c r="B110" s="2">
        <v>29</v>
      </c>
      <c r="C110" s="6">
        <v>6887</v>
      </c>
      <c r="D110" s="2">
        <v>36</v>
      </c>
      <c r="E110" s="2" t="s">
        <v>28</v>
      </c>
      <c r="F110" s="2" t="s">
        <v>30</v>
      </c>
    </row>
    <row r="111" spans="1:6" x14ac:dyDescent="0.3">
      <c r="A111" s="2">
        <v>925</v>
      </c>
      <c r="B111" s="2">
        <v>55</v>
      </c>
      <c r="C111" s="6">
        <v>6872</v>
      </c>
      <c r="D111" s="2">
        <v>24</v>
      </c>
      <c r="E111" s="2" t="s">
        <v>26</v>
      </c>
      <c r="F111" s="2" t="s">
        <v>30</v>
      </c>
    </row>
    <row r="112" spans="1:6" x14ac:dyDescent="0.3">
      <c r="A112" s="2">
        <v>508</v>
      </c>
      <c r="B112" s="2">
        <v>34</v>
      </c>
      <c r="C112" s="6">
        <v>6850</v>
      </c>
      <c r="D112" s="2">
        <v>15</v>
      </c>
      <c r="E112" s="2" t="s">
        <v>25</v>
      </c>
      <c r="F112" s="2" t="s">
        <v>30</v>
      </c>
    </row>
    <row r="113" spans="1:6" x14ac:dyDescent="0.3">
      <c r="A113" s="2">
        <v>940</v>
      </c>
      <c r="B113" s="2">
        <v>46</v>
      </c>
      <c r="C113" s="6">
        <v>6842</v>
      </c>
      <c r="D113" s="2">
        <v>24</v>
      </c>
      <c r="E113" s="2" t="s">
        <v>27</v>
      </c>
      <c r="F113" s="2" t="s">
        <v>30</v>
      </c>
    </row>
    <row r="114" spans="1:6" x14ac:dyDescent="0.3">
      <c r="A114" s="2">
        <v>30</v>
      </c>
      <c r="B114" s="2">
        <v>63</v>
      </c>
      <c r="C114" s="6">
        <v>6836</v>
      </c>
      <c r="D114" s="2">
        <v>60</v>
      </c>
      <c r="E114" s="2" t="s">
        <v>23</v>
      </c>
      <c r="F114" s="2" t="s">
        <v>30</v>
      </c>
    </row>
    <row r="115" spans="1:6" x14ac:dyDescent="0.3">
      <c r="A115" s="2">
        <v>739</v>
      </c>
      <c r="B115" s="2">
        <v>45</v>
      </c>
      <c r="C115" s="6">
        <v>6761</v>
      </c>
      <c r="D115" s="2">
        <v>6</v>
      </c>
      <c r="E115" s="2" t="s">
        <v>25</v>
      </c>
      <c r="F115" s="2" t="s">
        <v>30</v>
      </c>
    </row>
    <row r="116" spans="1:6" x14ac:dyDescent="0.3">
      <c r="A116" s="2">
        <v>847</v>
      </c>
      <c r="B116" s="2">
        <v>68</v>
      </c>
      <c r="C116" s="6">
        <v>6761</v>
      </c>
      <c r="D116" s="2">
        <v>18</v>
      </c>
      <c r="E116" s="2" t="s">
        <v>25</v>
      </c>
      <c r="F116" s="2" t="s">
        <v>30</v>
      </c>
    </row>
    <row r="117" spans="1:6" x14ac:dyDescent="0.3">
      <c r="A117" s="2">
        <v>570</v>
      </c>
      <c r="B117" s="2">
        <v>31</v>
      </c>
      <c r="C117" s="6">
        <v>6758</v>
      </c>
      <c r="D117" s="2">
        <v>48</v>
      </c>
      <c r="E117" s="2" t="s">
        <v>24</v>
      </c>
      <c r="F117" s="2" t="s">
        <v>30</v>
      </c>
    </row>
    <row r="118" spans="1:6" x14ac:dyDescent="0.3">
      <c r="A118" s="2">
        <v>880</v>
      </c>
      <c r="B118" s="2">
        <v>36</v>
      </c>
      <c r="C118" s="6">
        <v>6742</v>
      </c>
      <c r="D118" s="2">
        <v>30</v>
      </c>
      <c r="E118" s="2" t="s">
        <v>24</v>
      </c>
      <c r="F118" s="2" t="s">
        <v>30</v>
      </c>
    </row>
    <row r="119" spans="1:6" x14ac:dyDescent="0.3">
      <c r="A119" s="2">
        <v>830</v>
      </c>
      <c r="B119" s="2">
        <v>38</v>
      </c>
      <c r="C119" s="6">
        <v>6681</v>
      </c>
      <c r="D119" s="2">
        <v>48</v>
      </c>
      <c r="E119" s="2" t="s">
        <v>23</v>
      </c>
      <c r="F119" s="2" t="s">
        <v>30</v>
      </c>
    </row>
    <row r="120" spans="1:6" x14ac:dyDescent="0.3">
      <c r="A120" s="2">
        <v>331</v>
      </c>
      <c r="B120" s="2">
        <v>75</v>
      </c>
      <c r="C120" s="6">
        <v>6615</v>
      </c>
      <c r="D120" s="2">
        <v>24</v>
      </c>
      <c r="E120" s="2" t="s">
        <v>27</v>
      </c>
      <c r="F120" s="2" t="s">
        <v>30</v>
      </c>
    </row>
    <row r="121" spans="1:6" x14ac:dyDescent="0.3">
      <c r="A121" s="2">
        <v>889</v>
      </c>
      <c r="B121" s="2">
        <v>34</v>
      </c>
      <c r="C121" s="6">
        <v>6614</v>
      </c>
      <c r="D121" s="2">
        <v>36</v>
      </c>
      <c r="E121" s="2" t="s">
        <v>25</v>
      </c>
      <c r="F121" s="2" t="s">
        <v>30</v>
      </c>
    </row>
    <row r="122" spans="1:6" x14ac:dyDescent="0.3">
      <c r="A122" s="2">
        <v>989</v>
      </c>
      <c r="B122" s="2">
        <v>29</v>
      </c>
      <c r="C122" s="6">
        <v>6579</v>
      </c>
      <c r="D122" s="2">
        <v>24</v>
      </c>
      <c r="E122" s="2" t="s">
        <v>27</v>
      </c>
      <c r="F122" s="2" t="s">
        <v>30</v>
      </c>
    </row>
    <row r="123" spans="1:6" x14ac:dyDescent="0.3">
      <c r="A123" s="2">
        <v>209</v>
      </c>
      <c r="B123" s="2">
        <v>21</v>
      </c>
      <c r="C123" s="6">
        <v>6568</v>
      </c>
      <c r="D123" s="2">
        <v>24</v>
      </c>
      <c r="E123" s="2" t="s">
        <v>23</v>
      </c>
      <c r="F123" s="2" t="s">
        <v>30</v>
      </c>
    </row>
    <row r="124" spans="1:6" x14ac:dyDescent="0.3">
      <c r="A124" s="2">
        <v>707</v>
      </c>
      <c r="B124" s="2">
        <v>24</v>
      </c>
      <c r="C124" s="6">
        <v>6560</v>
      </c>
      <c r="D124" s="2">
        <v>48</v>
      </c>
      <c r="E124" s="2" t="s">
        <v>25</v>
      </c>
      <c r="F124" s="2" t="s">
        <v>30</v>
      </c>
    </row>
    <row r="125" spans="1:6" x14ac:dyDescent="0.3">
      <c r="A125" s="2">
        <v>686</v>
      </c>
      <c r="B125" s="2">
        <v>34</v>
      </c>
      <c r="C125" s="6">
        <v>6527</v>
      </c>
      <c r="D125" s="2">
        <v>60</v>
      </c>
      <c r="E125" s="2" t="s">
        <v>25</v>
      </c>
      <c r="F125" s="2" t="s">
        <v>30</v>
      </c>
    </row>
    <row r="126" spans="1:6" x14ac:dyDescent="0.3">
      <c r="A126" s="2">
        <v>57</v>
      </c>
      <c r="B126" s="2">
        <v>52</v>
      </c>
      <c r="C126" s="6">
        <v>6468</v>
      </c>
      <c r="D126" s="2">
        <v>12</v>
      </c>
      <c r="E126" s="2" t="s">
        <v>24</v>
      </c>
      <c r="F126" s="2" t="s">
        <v>30</v>
      </c>
    </row>
    <row r="127" spans="1:6" x14ac:dyDescent="0.3">
      <c r="A127" s="2">
        <v>785</v>
      </c>
      <c r="B127" s="2">
        <v>60</v>
      </c>
      <c r="C127" s="6">
        <v>6468</v>
      </c>
      <c r="D127" s="2">
        <v>20</v>
      </c>
      <c r="E127" s="2" t="s">
        <v>27</v>
      </c>
      <c r="F127" s="2" t="s">
        <v>30</v>
      </c>
    </row>
    <row r="128" spans="1:6" x14ac:dyDescent="0.3">
      <c r="A128" s="2">
        <v>107</v>
      </c>
      <c r="B128" s="2">
        <v>39</v>
      </c>
      <c r="C128" s="6">
        <v>6458</v>
      </c>
      <c r="D128" s="2">
        <v>18</v>
      </c>
      <c r="E128" s="2" t="s">
        <v>25</v>
      </c>
      <c r="F128" s="2" t="s">
        <v>30</v>
      </c>
    </row>
    <row r="129" spans="1:6" x14ac:dyDescent="0.3">
      <c r="A129" s="2">
        <v>293</v>
      </c>
      <c r="B129" s="2">
        <v>44</v>
      </c>
      <c r="C129" s="6">
        <v>6419</v>
      </c>
      <c r="D129" s="2">
        <v>24</v>
      </c>
      <c r="E129" s="2" t="s">
        <v>27</v>
      </c>
      <c r="F129" s="2" t="s">
        <v>30</v>
      </c>
    </row>
    <row r="130" spans="1:6" x14ac:dyDescent="0.3">
      <c r="A130" s="2">
        <v>729</v>
      </c>
      <c r="B130" s="2">
        <v>59</v>
      </c>
      <c r="C130" s="6">
        <v>6416</v>
      </c>
      <c r="D130" s="2">
        <v>48</v>
      </c>
      <c r="E130" s="2" t="s">
        <v>23</v>
      </c>
      <c r="F130" s="2" t="s">
        <v>30</v>
      </c>
    </row>
    <row r="131" spans="1:6" x14ac:dyDescent="0.3">
      <c r="A131" s="2">
        <v>731</v>
      </c>
      <c r="B131" s="2">
        <v>33</v>
      </c>
      <c r="C131" s="6">
        <v>6403</v>
      </c>
      <c r="D131" s="2">
        <v>24</v>
      </c>
      <c r="E131" s="2" t="s">
        <v>24</v>
      </c>
      <c r="F131" s="2" t="s">
        <v>30</v>
      </c>
    </row>
    <row r="132" spans="1:6" x14ac:dyDescent="0.3">
      <c r="A132" s="2">
        <v>660</v>
      </c>
      <c r="B132" s="2">
        <v>41</v>
      </c>
      <c r="C132" s="6">
        <v>6361</v>
      </c>
      <c r="D132" s="2">
        <v>18</v>
      </c>
      <c r="E132" s="2" t="s">
        <v>26</v>
      </c>
      <c r="F132" s="2" t="s">
        <v>30</v>
      </c>
    </row>
    <row r="133" spans="1:6" x14ac:dyDescent="0.3">
      <c r="A133" s="2">
        <v>543</v>
      </c>
      <c r="B133" s="2">
        <v>31</v>
      </c>
      <c r="C133" s="6">
        <v>6350</v>
      </c>
      <c r="D133" s="2">
        <v>30</v>
      </c>
      <c r="E133" s="2" t="s">
        <v>26</v>
      </c>
      <c r="F133" s="2" t="s">
        <v>30</v>
      </c>
    </row>
    <row r="134" spans="1:6" x14ac:dyDescent="0.3">
      <c r="A134" s="2">
        <v>702</v>
      </c>
      <c r="B134" s="2">
        <v>46</v>
      </c>
      <c r="C134" s="6">
        <v>6331</v>
      </c>
      <c r="D134" s="2">
        <v>48</v>
      </c>
      <c r="E134" s="2" t="s">
        <v>27</v>
      </c>
      <c r="F134" s="2" t="s">
        <v>30</v>
      </c>
    </row>
    <row r="135" spans="1:6" x14ac:dyDescent="0.3">
      <c r="A135" s="2">
        <v>666</v>
      </c>
      <c r="B135" s="2">
        <v>27</v>
      </c>
      <c r="C135" s="6">
        <v>6314</v>
      </c>
      <c r="D135" s="2">
        <v>24</v>
      </c>
      <c r="E135" s="2" t="s">
        <v>21</v>
      </c>
      <c r="F135" s="2" t="s">
        <v>30</v>
      </c>
    </row>
    <row r="136" spans="1:6" x14ac:dyDescent="0.3">
      <c r="A136" s="2">
        <v>792</v>
      </c>
      <c r="B136" s="2">
        <v>41</v>
      </c>
      <c r="C136" s="6">
        <v>6313</v>
      </c>
      <c r="D136" s="2">
        <v>24</v>
      </c>
      <c r="E136" s="2" t="s">
        <v>27</v>
      </c>
      <c r="F136" s="2" t="s">
        <v>30</v>
      </c>
    </row>
    <row r="137" spans="1:6" x14ac:dyDescent="0.3">
      <c r="A137" s="2">
        <v>267</v>
      </c>
      <c r="B137" s="2">
        <v>36</v>
      </c>
      <c r="C137" s="6">
        <v>6304</v>
      </c>
      <c r="D137" s="2">
        <v>36</v>
      </c>
      <c r="E137" s="2" t="s">
        <v>23</v>
      </c>
      <c r="F137" s="2" t="s">
        <v>30</v>
      </c>
    </row>
    <row r="138" spans="1:6" x14ac:dyDescent="0.3">
      <c r="A138" s="2">
        <v>987</v>
      </c>
      <c r="B138" s="2">
        <v>33</v>
      </c>
      <c r="C138" s="6">
        <v>6289</v>
      </c>
      <c r="D138" s="2">
        <v>42</v>
      </c>
      <c r="E138" s="2" t="s">
        <v>23</v>
      </c>
      <c r="F138" s="2" t="s">
        <v>30</v>
      </c>
    </row>
    <row r="139" spans="1:6" x14ac:dyDescent="0.3">
      <c r="A139" s="2">
        <v>939</v>
      </c>
      <c r="B139" s="2">
        <v>42</v>
      </c>
      <c r="C139" s="6">
        <v>6288</v>
      </c>
      <c r="D139" s="2">
        <v>60</v>
      </c>
      <c r="E139" s="2" t="s">
        <v>28</v>
      </c>
      <c r="F139" s="2" t="s">
        <v>30</v>
      </c>
    </row>
    <row r="140" spans="1:6" x14ac:dyDescent="0.3">
      <c r="A140" s="2">
        <v>113</v>
      </c>
      <c r="B140" s="2">
        <v>28</v>
      </c>
      <c r="C140" s="6">
        <v>6260</v>
      </c>
      <c r="D140" s="2">
        <v>18</v>
      </c>
      <c r="E140" s="2" t="s">
        <v>25</v>
      </c>
      <c r="F140" s="2" t="s">
        <v>30</v>
      </c>
    </row>
    <row r="141" spans="1:6" x14ac:dyDescent="0.3">
      <c r="A141" s="2">
        <v>60</v>
      </c>
      <c r="B141" s="2">
        <v>23</v>
      </c>
      <c r="C141" s="6">
        <v>6229</v>
      </c>
      <c r="D141" s="2">
        <v>36</v>
      </c>
      <c r="E141" s="2" t="s">
        <v>26</v>
      </c>
      <c r="F141" s="2" t="s">
        <v>30</v>
      </c>
    </row>
    <row r="142" spans="1:6" x14ac:dyDescent="0.3">
      <c r="A142" s="2">
        <v>789</v>
      </c>
      <c r="B142" s="2">
        <v>50</v>
      </c>
      <c r="C142" s="6">
        <v>6224</v>
      </c>
      <c r="D142" s="2">
        <v>48</v>
      </c>
      <c r="E142" s="2" t="s">
        <v>28</v>
      </c>
      <c r="F142" s="2" t="s">
        <v>30</v>
      </c>
    </row>
    <row r="143" spans="1:6" x14ac:dyDescent="0.3">
      <c r="A143" s="2">
        <v>43</v>
      </c>
      <c r="B143" s="2">
        <v>44</v>
      </c>
      <c r="C143" s="6">
        <v>6204</v>
      </c>
      <c r="D143" s="2">
        <v>18</v>
      </c>
      <c r="E143" s="2" t="s">
        <v>29</v>
      </c>
      <c r="F143" s="2" t="s">
        <v>30</v>
      </c>
    </row>
    <row r="144" spans="1:6" x14ac:dyDescent="0.3">
      <c r="A144" s="2">
        <v>354</v>
      </c>
      <c r="B144" s="2">
        <v>28</v>
      </c>
      <c r="C144" s="6">
        <v>6199</v>
      </c>
      <c r="D144" s="2">
        <v>12</v>
      </c>
      <c r="E144" s="2" t="s">
        <v>24</v>
      </c>
      <c r="F144" s="2" t="s">
        <v>30</v>
      </c>
    </row>
    <row r="145" spans="1:6" x14ac:dyDescent="0.3">
      <c r="A145" s="2">
        <v>44</v>
      </c>
      <c r="B145" s="2">
        <v>24</v>
      </c>
      <c r="C145" s="6">
        <v>6187</v>
      </c>
      <c r="D145" s="2">
        <v>30</v>
      </c>
      <c r="E145" s="2" t="s">
        <v>27</v>
      </c>
      <c r="F145" s="2" t="s">
        <v>30</v>
      </c>
    </row>
    <row r="146" spans="1:6" x14ac:dyDescent="0.3">
      <c r="A146" s="2">
        <v>720</v>
      </c>
      <c r="B146" s="2">
        <v>31</v>
      </c>
      <c r="C146" s="6">
        <v>6148</v>
      </c>
      <c r="D146" s="2">
        <v>20</v>
      </c>
      <c r="E146" s="2" t="s">
        <v>27</v>
      </c>
      <c r="F146" s="2" t="s">
        <v>30</v>
      </c>
    </row>
    <row r="147" spans="1:6" x14ac:dyDescent="0.3">
      <c r="A147" s="2">
        <v>45</v>
      </c>
      <c r="B147" s="2">
        <v>58</v>
      </c>
      <c r="C147" s="6">
        <v>6143</v>
      </c>
      <c r="D147" s="2">
        <v>48</v>
      </c>
      <c r="E147" s="2" t="s">
        <v>27</v>
      </c>
      <c r="F147" s="2" t="s">
        <v>30</v>
      </c>
    </row>
    <row r="148" spans="1:6" x14ac:dyDescent="0.3">
      <c r="A148" s="2">
        <v>37</v>
      </c>
      <c r="B148" s="2">
        <v>31</v>
      </c>
      <c r="C148" s="6">
        <v>6110</v>
      </c>
      <c r="D148" s="2">
        <v>48</v>
      </c>
      <c r="E148" s="2" t="s">
        <v>28</v>
      </c>
      <c r="F148" s="2" t="s">
        <v>30</v>
      </c>
    </row>
    <row r="149" spans="1:6" x14ac:dyDescent="0.3">
      <c r="A149" s="2">
        <v>108</v>
      </c>
      <c r="B149" s="2">
        <v>32</v>
      </c>
      <c r="C149" s="6">
        <v>6078</v>
      </c>
      <c r="D149" s="2">
        <v>12</v>
      </c>
      <c r="E149" s="2" t="s">
        <v>25</v>
      </c>
      <c r="F149" s="2" t="s">
        <v>30</v>
      </c>
    </row>
    <row r="150" spans="1:6" x14ac:dyDescent="0.3">
      <c r="A150" s="2">
        <v>372</v>
      </c>
      <c r="B150" s="2">
        <v>33</v>
      </c>
      <c r="C150" s="6">
        <v>6070</v>
      </c>
      <c r="D150" s="2">
        <v>18</v>
      </c>
      <c r="E150" s="2" t="s">
        <v>24</v>
      </c>
      <c r="F150" s="2" t="s">
        <v>30</v>
      </c>
    </row>
    <row r="151" spans="1:6" x14ac:dyDescent="0.3">
      <c r="A151" s="2">
        <v>790</v>
      </c>
      <c r="B151" s="2">
        <v>27</v>
      </c>
      <c r="C151" s="6">
        <v>5998</v>
      </c>
      <c r="D151" s="2">
        <v>40</v>
      </c>
      <c r="E151" s="2" t="s">
        <v>28</v>
      </c>
      <c r="F151" s="2" t="s">
        <v>30</v>
      </c>
    </row>
    <row r="152" spans="1:6" x14ac:dyDescent="0.3">
      <c r="A152" s="2">
        <v>52</v>
      </c>
      <c r="B152" s="2">
        <v>30</v>
      </c>
      <c r="C152" s="6">
        <v>5965</v>
      </c>
      <c r="D152" s="2">
        <v>27</v>
      </c>
      <c r="E152" s="2" t="s">
        <v>27</v>
      </c>
      <c r="F152" s="2" t="s">
        <v>30</v>
      </c>
    </row>
    <row r="153" spans="1:6" x14ac:dyDescent="0.3">
      <c r="A153" s="2">
        <v>74</v>
      </c>
      <c r="B153" s="2">
        <v>41</v>
      </c>
      <c r="C153" s="6">
        <v>5954</v>
      </c>
      <c r="D153" s="2">
        <v>42</v>
      </c>
      <c r="E153" s="2" t="s">
        <v>23</v>
      </c>
      <c r="F153" s="2" t="s">
        <v>30</v>
      </c>
    </row>
    <row r="154" spans="1:6" x14ac:dyDescent="0.3">
      <c r="A154" s="2">
        <v>572</v>
      </c>
      <c r="B154" s="2">
        <v>38</v>
      </c>
      <c r="C154" s="6">
        <v>5954</v>
      </c>
      <c r="D154" s="2">
        <v>30</v>
      </c>
      <c r="E154" s="2" t="s">
        <v>24</v>
      </c>
      <c r="F154" s="2" t="s">
        <v>30</v>
      </c>
    </row>
    <row r="155" spans="1:6" x14ac:dyDescent="0.3">
      <c r="A155" s="2">
        <v>2</v>
      </c>
      <c r="B155" s="2">
        <v>22</v>
      </c>
      <c r="C155" s="6">
        <v>5951</v>
      </c>
      <c r="D155" s="2">
        <v>48</v>
      </c>
      <c r="E155" s="2" t="s">
        <v>24</v>
      </c>
      <c r="F155" s="2" t="s">
        <v>30</v>
      </c>
    </row>
    <row r="156" spans="1:6" x14ac:dyDescent="0.3">
      <c r="A156" s="2">
        <v>81</v>
      </c>
      <c r="B156" s="2">
        <v>44</v>
      </c>
      <c r="C156" s="6">
        <v>5943</v>
      </c>
      <c r="D156" s="2">
        <v>24</v>
      </c>
      <c r="E156" s="2" t="s">
        <v>24</v>
      </c>
      <c r="F156" s="2" t="s">
        <v>30</v>
      </c>
    </row>
    <row r="157" spans="1:6" x14ac:dyDescent="0.3">
      <c r="A157" s="2">
        <v>33</v>
      </c>
      <c r="B157" s="2">
        <v>30</v>
      </c>
      <c r="C157" s="6">
        <v>5866</v>
      </c>
      <c r="D157" s="2">
        <v>18</v>
      </c>
      <c r="E157" s="2" t="s">
        <v>25</v>
      </c>
      <c r="F157" s="2" t="s">
        <v>30</v>
      </c>
    </row>
    <row r="158" spans="1:6" x14ac:dyDescent="0.3">
      <c r="A158" s="2">
        <v>153</v>
      </c>
      <c r="B158" s="2">
        <v>24</v>
      </c>
      <c r="C158" s="6">
        <v>5848</v>
      </c>
      <c r="D158" s="2">
        <v>36</v>
      </c>
      <c r="E158" s="2" t="s">
        <v>24</v>
      </c>
      <c r="F158" s="2" t="s">
        <v>30</v>
      </c>
    </row>
    <row r="159" spans="1:6" x14ac:dyDescent="0.3">
      <c r="A159" s="2">
        <v>416</v>
      </c>
      <c r="B159" s="2">
        <v>35</v>
      </c>
      <c r="C159" s="6">
        <v>5842</v>
      </c>
      <c r="D159" s="2">
        <v>36</v>
      </c>
      <c r="E159" s="2" t="s">
        <v>27</v>
      </c>
      <c r="F159" s="2" t="s">
        <v>30</v>
      </c>
    </row>
    <row r="160" spans="1:6" x14ac:dyDescent="0.3">
      <c r="A160" s="2">
        <v>861</v>
      </c>
      <c r="B160" s="2">
        <v>27</v>
      </c>
      <c r="C160" s="6">
        <v>5804</v>
      </c>
      <c r="D160" s="2">
        <v>24</v>
      </c>
      <c r="E160" s="2" t="s">
        <v>27</v>
      </c>
      <c r="F160" s="2" t="s">
        <v>30</v>
      </c>
    </row>
    <row r="161" spans="1:6" x14ac:dyDescent="0.3">
      <c r="A161" s="2">
        <v>327</v>
      </c>
      <c r="B161" s="2">
        <v>49</v>
      </c>
      <c r="C161" s="6">
        <v>5801</v>
      </c>
      <c r="D161" s="2">
        <v>12</v>
      </c>
      <c r="E161" s="2" t="s">
        <v>26</v>
      </c>
      <c r="F161" s="2" t="s">
        <v>30</v>
      </c>
    </row>
    <row r="162" spans="1:6" x14ac:dyDescent="0.3">
      <c r="A162" s="2">
        <v>894</v>
      </c>
      <c r="B162" s="2">
        <v>34</v>
      </c>
      <c r="C162" s="6">
        <v>5800</v>
      </c>
      <c r="D162" s="2">
        <v>36</v>
      </c>
      <c r="E162" s="2" t="s">
        <v>27</v>
      </c>
      <c r="F162" s="2" t="s">
        <v>30</v>
      </c>
    </row>
    <row r="163" spans="1:6" x14ac:dyDescent="0.3">
      <c r="A163" s="2">
        <v>754</v>
      </c>
      <c r="B163" s="2">
        <v>25</v>
      </c>
      <c r="C163" s="6">
        <v>5771</v>
      </c>
      <c r="D163" s="2">
        <v>30</v>
      </c>
      <c r="E163" s="2" t="s">
        <v>24</v>
      </c>
      <c r="F163" s="2" t="s">
        <v>30</v>
      </c>
    </row>
    <row r="164" spans="1:6" x14ac:dyDescent="0.3">
      <c r="A164" s="2">
        <v>341</v>
      </c>
      <c r="B164" s="2">
        <v>24</v>
      </c>
      <c r="C164" s="6">
        <v>5743</v>
      </c>
      <c r="D164" s="2">
        <v>24</v>
      </c>
      <c r="E164" s="2" t="s">
        <v>28</v>
      </c>
      <c r="F164" s="2" t="s">
        <v>30</v>
      </c>
    </row>
    <row r="165" spans="1:6" x14ac:dyDescent="0.3">
      <c r="A165" s="2">
        <v>672</v>
      </c>
      <c r="B165" s="2">
        <v>31</v>
      </c>
      <c r="C165" s="6">
        <v>5742</v>
      </c>
      <c r="D165" s="2">
        <v>36</v>
      </c>
      <c r="E165" s="2" t="s">
        <v>23</v>
      </c>
      <c r="F165" s="2" t="s">
        <v>30</v>
      </c>
    </row>
    <row r="166" spans="1:6" x14ac:dyDescent="0.3">
      <c r="A166" s="2">
        <v>779</v>
      </c>
      <c r="B166" s="2">
        <v>38</v>
      </c>
      <c r="C166" s="6">
        <v>5711</v>
      </c>
      <c r="D166" s="2">
        <v>36</v>
      </c>
      <c r="E166" s="2" t="s">
        <v>27</v>
      </c>
      <c r="F166" s="2" t="s">
        <v>30</v>
      </c>
    </row>
    <row r="167" spans="1:6" x14ac:dyDescent="0.3">
      <c r="A167" s="2">
        <v>678</v>
      </c>
      <c r="B167" s="2">
        <v>24</v>
      </c>
      <c r="C167" s="6">
        <v>5595</v>
      </c>
      <c r="D167" s="2">
        <v>72</v>
      </c>
      <c r="E167" s="2" t="s">
        <v>24</v>
      </c>
      <c r="F167" s="2" t="s">
        <v>30</v>
      </c>
    </row>
    <row r="168" spans="1:6" x14ac:dyDescent="0.3">
      <c r="A168" s="2">
        <v>312</v>
      </c>
      <c r="B168" s="2">
        <v>25</v>
      </c>
      <c r="C168" s="6">
        <v>5511</v>
      </c>
      <c r="D168" s="2">
        <v>24</v>
      </c>
      <c r="E168" s="2" t="s">
        <v>26</v>
      </c>
      <c r="F168" s="2" t="s">
        <v>30</v>
      </c>
    </row>
    <row r="169" spans="1:6" x14ac:dyDescent="0.3">
      <c r="A169" s="2">
        <v>521</v>
      </c>
      <c r="B169" s="2">
        <v>44</v>
      </c>
      <c r="C169" s="6">
        <v>5507</v>
      </c>
      <c r="D169" s="2">
        <v>24</v>
      </c>
      <c r="E169" s="2" t="s">
        <v>29</v>
      </c>
      <c r="F169" s="2" t="s">
        <v>30</v>
      </c>
    </row>
    <row r="170" spans="1:6" x14ac:dyDescent="0.3">
      <c r="A170" s="2">
        <v>502</v>
      </c>
      <c r="B170" s="2">
        <v>42</v>
      </c>
      <c r="C170" s="6">
        <v>5493</v>
      </c>
      <c r="D170" s="2">
        <v>36</v>
      </c>
      <c r="E170" s="2" t="s">
        <v>27</v>
      </c>
      <c r="F170" s="2" t="s">
        <v>30</v>
      </c>
    </row>
    <row r="171" spans="1:6" x14ac:dyDescent="0.3">
      <c r="A171" s="2">
        <v>573</v>
      </c>
      <c r="B171" s="2">
        <v>26</v>
      </c>
      <c r="C171" s="6">
        <v>5433</v>
      </c>
      <c r="D171" s="2">
        <v>24</v>
      </c>
      <c r="E171" s="2" t="s">
        <v>27</v>
      </c>
      <c r="F171" s="2" t="s">
        <v>30</v>
      </c>
    </row>
    <row r="172" spans="1:6" x14ac:dyDescent="0.3">
      <c r="A172" s="2">
        <v>311</v>
      </c>
      <c r="B172" s="2">
        <v>40</v>
      </c>
      <c r="C172" s="6">
        <v>5381</v>
      </c>
      <c r="D172" s="2">
        <v>48</v>
      </c>
      <c r="E172" s="2" t="s">
        <v>21</v>
      </c>
      <c r="F172" s="2" t="s">
        <v>30</v>
      </c>
    </row>
    <row r="173" spans="1:6" x14ac:dyDescent="0.3">
      <c r="A173" s="2">
        <v>149</v>
      </c>
      <c r="B173" s="2">
        <v>28</v>
      </c>
      <c r="C173" s="6">
        <v>5371</v>
      </c>
      <c r="D173" s="2">
        <v>36</v>
      </c>
      <c r="E173" s="2" t="s">
        <v>26</v>
      </c>
      <c r="F173" s="2" t="s">
        <v>30</v>
      </c>
    </row>
    <row r="174" spans="1:6" x14ac:dyDescent="0.3">
      <c r="A174" s="2">
        <v>706</v>
      </c>
      <c r="B174" s="2">
        <v>35</v>
      </c>
      <c r="C174" s="6">
        <v>5324</v>
      </c>
      <c r="D174" s="2">
        <v>15</v>
      </c>
      <c r="E174" s="2" t="s">
        <v>25</v>
      </c>
      <c r="F174" s="2" t="s">
        <v>30</v>
      </c>
    </row>
    <row r="175" spans="1:6" x14ac:dyDescent="0.3">
      <c r="A175" s="2">
        <v>263</v>
      </c>
      <c r="B175" s="2">
        <v>36</v>
      </c>
      <c r="C175" s="6">
        <v>5302</v>
      </c>
      <c r="D175" s="2">
        <v>18</v>
      </c>
      <c r="E175" s="2" t="s">
        <v>25</v>
      </c>
      <c r="F175" s="2" t="s">
        <v>30</v>
      </c>
    </row>
    <row r="176" spans="1:6" x14ac:dyDescent="0.3">
      <c r="A176" s="2">
        <v>213</v>
      </c>
      <c r="B176" s="2">
        <v>50</v>
      </c>
      <c r="C176" s="6">
        <v>5293</v>
      </c>
      <c r="D176" s="2">
        <v>27</v>
      </c>
      <c r="E176" s="2" t="s">
        <v>23</v>
      </c>
      <c r="F176" s="2" t="s">
        <v>30</v>
      </c>
    </row>
    <row r="177" spans="1:6" x14ac:dyDescent="0.3">
      <c r="A177" s="2">
        <v>749</v>
      </c>
      <c r="B177" s="2">
        <v>26</v>
      </c>
      <c r="C177" s="6">
        <v>5248</v>
      </c>
      <c r="D177" s="2">
        <v>21</v>
      </c>
      <c r="E177" s="2" t="s">
        <v>27</v>
      </c>
      <c r="F177" s="2" t="s">
        <v>30</v>
      </c>
    </row>
    <row r="178" spans="1:6" x14ac:dyDescent="0.3">
      <c r="A178" s="2">
        <v>10</v>
      </c>
      <c r="B178" s="2">
        <v>28</v>
      </c>
      <c r="C178" s="6">
        <v>5234</v>
      </c>
      <c r="D178" s="2">
        <v>30</v>
      </c>
      <c r="E178" s="2" t="s">
        <v>25</v>
      </c>
      <c r="F178" s="2" t="s">
        <v>30</v>
      </c>
    </row>
    <row r="179" spans="1:6" x14ac:dyDescent="0.3">
      <c r="A179" s="2">
        <v>66</v>
      </c>
      <c r="B179" s="2">
        <v>48</v>
      </c>
      <c r="C179" s="6">
        <v>5190</v>
      </c>
      <c r="D179" s="2">
        <v>27</v>
      </c>
      <c r="E179" s="2" t="s">
        <v>29</v>
      </c>
      <c r="F179" s="2" t="s">
        <v>30</v>
      </c>
    </row>
    <row r="180" spans="1:6" x14ac:dyDescent="0.3">
      <c r="A180" s="2">
        <v>841</v>
      </c>
      <c r="B180" s="2">
        <v>29</v>
      </c>
      <c r="C180" s="6">
        <v>5179</v>
      </c>
      <c r="D180" s="2">
        <v>36</v>
      </c>
      <c r="E180" s="2" t="s">
        <v>26</v>
      </c>
      <c r="F180" s="2" t="s">
        <v>30</v>
      </c>
    </row>
    <row r="181" spans="1:6" x14ac:dyDescent="0.3">
      <c r="A181" s="2">
        <v>478</v>
      </c>
      <c r="B181" s="2">
        <v>25</v>
      </c>
      <c r="C181" s="6">
        <v>5152</v>
      </c>
      <c r="D181" s="2">
        <v>24</v>
      </c>
      <c r="E181" s="2" t="s">
        <v>24</v>
      </c>
      <c r="F181" s="2" t="s">
        <v>30</v>
      </c>
    </row>
    <row r="182" spans="1:6" x14ac:dyDescent="0.3">
      <c r="A182" s="2">
        <v>677</v>
      </c>
      <c r="B182" s="2">
        <v>33</v>
      </c>
      <c r="C182" s="6">
        <v>5150</v>
      </c>
      <c r="D182" s="2">
        <v>24</v>
      </c>
      <c r="E182" s="2" t="s">
        <v>26</v>
      </c>
      <c r="F182" s="2" t="s">
        <v>30</v>
      </c>
    </row>
    <row r="183" spans="1:6" x14ac:dyDescent="0.3">
      <c r="A183" s="2">
        <v>187</v>
      </c>
      <c r="B183" s="2">
        <v>74</v>
      </c>
      <c r="C183" s="6">
        <v>5129</v>
      </c>
      <c r="D183" s="2">
        <v>9</v>
      </c>
      <c r="E183" s="2" t="s">
        <v>27</v>
      </c>
      <c r="F183" s="2" t="s">
        <v>30</v>
      </c>
    </row>
    <row r="184" spans="1:6" x14ac:dyDescent="0.3">
      <c r="A184" s="2">
        <v>203</v>
      </c>
      <c r="B184" s="2">
        <v>26</v>
      </c>
      <c r="C184" s="6">
        <v>5117</v>
      </c>
      <c r="D184" s="2">
        <v>27</v>
      </c>
      <c r="E184" s="2" t="s">
        <v>23</v>
      </c>
      <c r="F184" s="2" t="s">
        <v>30</v>
      </c>
    </row>
    <row r="185" spans="1:6" x14ac:dyDescent="0.3">
      <c r="A185" s="2">
        <v>684</v>
      </c>
      <c r="B185" s="2">
        <v>47</v>
      </c>
      <c r="C185" s="6">
        <v>5103</v>
      </c>
      <c r="D185" s="2">
        <v>24</v>
      </c>
      <c r="E185" s="2" t="s">
        <v>24</v>
      </c>
      <c r="F185" s="2" t="s">
        <v>30</v>
      </c>
    </row>
    <row r="186" spans="1:6" x14ac:dyDescent="0.3">
      <c r="A186" s="2">
        <v>445</v>
      </c>
      <c r="B186" s="2">
        <v>30</v>
      </c>
      <c r="C186" s="6">
        <v>5096</v>
      </c>
      <c r="D186" s="2">
        <v>48</v>
      </c>
      <c r="E186" s="2" t="s">
        <v>26</v>
      </c>
      <c r="F186" s="2" t="s">
        <v>30</v>
      </c>
    </row>
    <row r="187" spans="1:6" x14ac:dyDescent="0.3">
      <c r="A187" s="2">
        <v>834</v>
      </c>
      <c r="B187" s="2">
        <v>42</v>
      </c>
      <c r="C187" s="6">
        <v>5084</v>
      </c>
      <c r="D187" s="2">
        <v>24</v>
      </c>
      <c r="E187" s="2" t="s">
        <v>24</v>
      </c>
      <c r="F187" s="2" t="s">
        <v>30</v>
      </c>
    </row>
    <row r="188" spans="1:6" x14ac:dyDescent="0.3">
      <c r="A188" s="2">
        <v>761</v>
      </c>
      <c r="B188" s="2">
        <v>59</v>
      </c>
      <c r="C188" s="6">
        <v>5045</v>
      </c>
      <c r="D188" s="2">
        <v>15</v>
      </c>
      <c r="E188" s="2" t="s">
        <v>25</v>
      </c>
      <c r="F188" s="2" t="s">
        <v>30</v>
      </c>
    </row>
    <row r="189" spans="1:6" x14ac:dyDescent="0.3">
      <c r="A189" s="2">
        <v>558</v>
      </c>
      <c r="B189" s="2">
        <v>29</v>
      </c>
      <c r="C189" s="6">
        <v>5003</v>
      </c>
      <c r="D189" s="2">
        <v>21</v>
      </c>
      <c r="E189" s="2" t="s">
        <v>25</v>
      </c>
      <c r="F189" s="2" t="s">
        <v>30</v>
      </c>
    </row>
    <row r="190" spans="1:6" x14ac:dyDescent="0.3">
      <c r="A190" s="2">
        <v>781</v>
      </c>
      <c r="B190" s="2">
        <v>25</v>
      </c>
      <c r="C190" s="6">
        <v>4933</v>
      </c>
      <c r="D190" s="2">
        <v>39</v>
      </c>
      <c r="E190" s="2" t="s">
        <v>24</v>
      </c>
      <c r="F190" s="2" t="s">
        <v>30</v>
      </c>
    </row>
    <row r="191" spans="1:6" x14ac:dyDescent="0.3">
      <c r="A191" s="2">
        <v>5</v>
      </c>
      <c r="B191" s="2">
        <v>53</v>
      </c>
      <c r="C191" s="6">
        <v>4870</v>
      </c>
      <c r="D191" s="2">
        <v>24</v>
      </c>
      <c r="E191" s="2" t="s">
        <v>25</v>
      </c>
      <c r="F191" s="2" t="s">
        <v>30</v>
      </c>
    </row>
    <row r="192" spans="1:6" x14ac:dyDescent="0.3">
      <c r="A192" s="2">
        <v>982</v>
      </c>
      <c r="B192" s="2">
        <v>33</v>
      </c>
      <c r="C192" s="6">
        <v>4844</v>
      </c>
      <c r="D192" s="2">
        <v>48</v>
      </c>
      <c r="E192" s="2" t="s">
        <v>23</v>
      </c>
      <c r="F192" s="2" t="s">
        <v>30</v>
      </c>
    </row>
    <row r="193" spans="1:6" x14ac:dyDescent="0.3">
      <c r="A193" s="2">
        <v>669</v>
      </c>
      <c r="B193" s="2">
        <v>43</v>
      </c>
      <c r="C193" s="6">
        <v>4843</v>
      </c>
      <c r="D193" s="2">
        <v>12</v>
      </c>
      <c r="E193" s="2" t="s">
        <v>25</v>
      </c>
      <c r="F193" s="2" t="s">
        <v>30</v>
      </c>
    </row>
    <row r="194" spans="1:6" x14ac:dyDescent="0.3">
      <c r="A194" s="2">
        <v>455</v>
      </c>
      <c r="B194" s="2">
        <v>31</v>
      </c>
      <c r="C194" s="6">
        <v>4817</v>
      </c>
      <c r="D194" s="2">
        <v>24</v>
      </c>
      <c r="E194" s="2" t="s">
        <v>25</v>
      </c>
      <c r="F194" s="2" t="s">
        <v>30</v>
      </c>
    </row>
    <row r="195" spans="1:6" x14ac:dyDescent="0.3">
      <c r="A195" s="2">
        <v>307</v>
      </c>
      <c r="B195" s="2">
        <v>24</v>
      </c>
      <c r="C195" s="6">
        <v>4811</v>
      </c>
      <c r="D195" s="2">
        <v>30</v>
      </c>
      <c r="E195" s="2" t="s">
        <v>27</v>
      </c>
      <c r="F195" s="2" t="s">
        <v>30</v>
      </c>
    </row>
    <row r="196" spans="1:6" x14ac:dyDescent="0.3">
      <c r="A196" s="2">
        <v>294</v>
      </c>
      <c r="B196" s="2">
        <v>56</v>
      </c>
      <c r="C196" s="6">
        <v>4796</v>
      </c>
      <c r="D196" s="2">
        <v>42</v>
      </c>
      <c r="E196" s="2" t="s">
        <v>27</v>
      </c>
      <c r="F196" s="2" t="s">
        <v>30</v>
      </c>
    </row>
    <row r="197" spans="1:6" x14ac:dyDescent="0.3">
      <c r="A197" s="2">
        <v>142</v>
      </c>
      <c r="B197" s="2">
        <v>30</v>
      </c>
      <c r="C197" s="6">
        <v>4795</v>
      </c>
      <c r="D197" s="2">
        <v>36</v>
      </c>
      <c r="E197" s="2" t="s">
        <v>24</v>
      </c>
      <c r="F197" s="2" t="s">
        <v>30</v>
      </c>
    </row>
    <row r="198" spans="1:6" x14ac:dyDescent="0.3">
      <c r="A198" s="2">
        <v>287</v>
      </c>
      <c r="B198" s="2">
        <v>26</v>
      </c>
      <c r="C198" s="6">
        <v>4788</v>
      </c>
      <c r="D198" s="2">
        <v>48</v>
      </c>
      <c r="E198" s="2" t="s">
        <v>27</v>
      </c>
      <c r="F198" s="2" t="s">
        <v>30</v>
      </c>
    </row>
    <row r="199" spans="1:6" x14ac:dyDescent="0.3">
      <c r="A199" s="2">
        <v>78</v>
      </c>
      <c r="B199" s="2">
        <v>51</v>
      </c>
      <c r="C199" s="6">
        <v>4771</v>
      </c>
      <c r="D199" s="2">
        <v>11</v>
      </c>
      <c r="E199" s="2" t="s">
        <v>24</v>
      </c>
      <c r="F199" s="2" t="s">
        <v>30</v>
      </c>
    </row>
    <row r="200" spans="1:6" x14ac:dyDescent="0.3">
      <c r="A200" s="2">
        <v>36</v>
      </c>
      <c r="B200" s="2">
        <v>25</v>
      </c>
      <c r="C200" s="6">
        <v>4746</v>
      </c>
      <c r="D200" s="2">
        <v>45</v>
      </c>
      <c r="E200" s="2" t="s">
        <v>24</v>
      </c>
      <c r="F200" s="2" t="s">
        <v>30</v>
      </c>
    </row>
    <row r="201" spans="1:6" x14ac:dyDescent="0.3">
      <c r="A201" s="2">
        <v>912</v>
      </c>
      <c r="B201" s="2">
        <v>25</v>
      </c>
      <c r="C201" s="6">
        <v>4736</v>
      </c>
      <c r="D201" s="2">
        <v>24</v>
      </c>
      <c r="E201" s="2" t="s">
        <v>26</v>
      </c>
      <c r="F201" s="2" t="s">
        <v>30</v>
      </c>
    </row>
    <row r="202" spans="1:6" x14ac:dyDescent="0.3">
      <c r="A202" s="2">
        <v>694</v>
      </c>
      <c r="B202" s="2">
        <v>44</v>
      </c>
      <c r="C202" s="6">
        <v>4716</v>
      </c>
      <c r="D202" s="2">
        <v>6</v>
      </c>
      <c r="E202" s="2" t="s">
        <v>25</v>
      </c>
      <c r="F202" s="2" t="s">
        <v>30</v>
      </c>
    </row>
    <row r="203" spans="1:6" x14ac:dyDescent="0.3">
      <c r="A203" s="2">
        <v>565</v>
      </c>
      <c r="B203" s="2">
        <v>37</v>
      </c>
      <c r="C203" s="6">
        <v>4712</v>
      </c>
      <c r="D203" s="2">
        <v>24</v>
      </c>
      <c r="E203" s="2" t="s">
        <v>23</v>
      </c>
      <c r="F203" s="2" t="s">
        <v>30</v>
      </c>
    </row>
    <row r="204" spans="1:6" x14ac:dyDescent="0.3">
      <c r="A204" s="2">
        <v>512</v>
      </c>
      <c r="B204" s="2">
        <v>32</v>
      </c>
      <c r="C204" s="6">
        <v>4686</v>
      </c>
      <c r="D204" s="2">
        <v>36</v>
      </c>
      <c r="E204" s="2" t="s">
        <v>27</v>
      </c>
      <c r="F204" s="2" t="s">
        <v>30</v>
      </c>
    </row>
    <row r="205" spans="1:6" x14ac:dyDescent="0.3">
      <c r="A205" s="2">
        <v>470</v>
      </c>
      <c r="B205" s="2">
        <v>35</v>
      </c>
      <c r="C205" s="6">
        <v>4679</v>
      </c>
      <c r="D205" s="2">
        <v>24</v>
      </c>
      <c r="E205" s="2" t="s">
        <v>27</v>
      </c>
      <c r="F205" s="2" t="s">
        <v>30</v>
      </c>
    </row>
    <row r="206" spans="1:6" x14ac:dyDescent="0.3">
      <c r="A206" s="2">
        <v>297</v>
      </c>
      <c r="B206" s="2">
        <v>20</v>
      </c>
      <c r="C206" s="6">
        <v>4675</v>
      </c>
      <c r="D206" s="2">
        <v>12</v>
      </c>
      <c r="E206" s="2" t="s">
        <v>27</v>
      </c>
      <c r="F206" s="2" t="s">
        <v>30</v>
      </c>
    </row>
    <row r="207" spans="1:6" x14ac:dyDescent="0.3">
      <c r="A207" s="2">
        <v>225</v>
      </c>
      <c r="B207" s="2">
        <v>30</v>
      </c>
      <c r="C207" s="6">
        <v>4657</v>
      </c>
      <c r="D207" s="2">
        <v>15</v>
      </c>
      <c r="E207" s="2" t="s">
        <v>27</v>
      </c>
      <c r="F207" s="2" t="s">
        <v>30</v>
      </c>
    </row>
    <row r="208" spans="1:6" x14ac:dyDescent="0.3">
      <c r="A208" s="2">
        <v>643</v>
      </c>
      <c r="B208" s="2">
        <v>40</v>
      </c>
      <c r="C208" s="6">
        <v>4623</v>
      </c>
      <c r="D208" s="2">
        <v>15</v>
      </c>
      <c r="E208" s="2" t="s">
        <v>28</v>
      </c>
      <c r="F208" s="2" t="s">
        <v>30</v>
      </c>
    </row>
    <row r="209" spans="1:6" x14ac:dyDescent="0.3">
      <c r="A209" s="2">
        <v>279</v>
      </c>
      <c r="B209" s="2">
        <v>32</v>
      </c>
      <c r="C209" s="6">
        <v>4611</v>
      </c>
      <c r="D209" s="2">
        <v>6</v>
      </c>
      <c r="E209" s="2" t="s">
        <v>26</v>
      </c>
      <c r="F209" s="2" t="s">
        <v>30</v>
      </c>
    </row>
    <row r="210" spans="1:6" x14ac:dyDescent="0.3">
      <c r="A210" s="2">
        <v>243</v>
      </c>
      <c r="B210" s="2">
        <v>24</v>
      </c>
      <c r="C210" s="6">
        <v>4605</v>
      </c>
      <c r="D210" s="2">
        <v>48</v>
      </c>
      <c r="E210" s="2" t="s">
        <v>27</v>
      </c>
      <c r="F210" s="2" t="s">
        <v>30</v>
      </c>
    </row>
    <row r="211" spans="1:6" x14ac:dyDescent="0.3">
      <c r="A211" s="2">
        <v>460</v>
      </c>
      <c r="B211" s="2">
        <v>32</v>
      </c>
      <c r="C211" s="6">
        <v>4594</v>
      </c>
      <c r="D211" s="2">
        <v>18</v>
      </c>
      <c r="E211" s="2" t="s">
        <v>24</v>
      </c>
      <c r="F211" s="2" t="s">
        <v>30</v>
      </c>
    </row>
    <row r="212" spans="1:6" x14ac:dyDescent="0.3">
      <c r="A212" s="2">
        <v>191</v>
      </c>
      <c r="B212" s="2">
        <v>54</v>
      </c>
      <c r="C212" s="6">
        <v>4591</v>
      </c>
      <c r="D212" s="2">
        <v>24</v>
      </c>
      <c r="E212" s="2" t="s">
        <v>23</v>
      </c>
      <c r="F212" s="2" t="s">
        <v>30</v>
      </c>
    </row>
    <row r="213" spans="1:6" x14ac:dyDescent="0.3">
      <c r="A213" s="2">
        <v>647</v>
      </c>
      <c r="B213" s="2">
        <v>32</v>
      </c>
      <c r="C213" s="6">
        <v>4583</v>
      </c>
      <c r="D213" s="2">
        <v>30</v>
      </c>
      <c r="E213" s="2" t="s">
        <v>26</v>
      </c>
      <c r="F213" s="2" t="s">
        <v>30</v>
      </c>
    </row>
    <row r="214" spans="1:6" x14ac:dyDescent="0.3">
      <c r="A214" s="2">
        <v>1000</v>
      </c>
      <c r="B214" s="2">
        <v>27</v>
      </c>
      <c r="C214" s="6">
        <v>4576</v>
      </c>
      <c r="D214" s="2">
        <v>45</v>
      </c>
      <c r="E214" s="2" t="s">
        <v>27</v>
      </c>
      <c r="F214" s="2" t="s">
        <v>30</v>
      </c>
    </row>
    <row r="215" spans="1:6" x14ac:dyDescent="0.3">
      <c r="A215" s="2">
        <v>676</v>
      </c>
      <c r="B215" s="2">
        <v>26</v>
      </c>
      <c r="C215" s="6">
        <v>4530</v>
      </c>
      <c r="D215" s="2">
        <v>30</v>
      </c>
      <c r="E215" s="2" t="s">
        <v>24</v>
      </c>
      <c r="F215" s="2" t="s">
        <v>30</v>
      </c>
    </row>
    <row r="216" spans="1:6" x14ac:dyDescent="0.3">
      <c r="A216" s="2">
        <v>607</v>
      </c>
      <c r="B216" s="2">
        <v>74</v>
      </c>
      <c r="C216" s="6">
        <v>4526</v>
      </c>
      <c r="D216" s="2">
        <v>24</v>
      </c>
      <c r="E216" s="2" t="s">
        <v>23</v>
      </c>
      <c r="F216" s="2" t="s">
        <v>30</v>
      </c>
    </row>
    <row r="217" spans="1:6" x14ac:dyDescent="0.3">
      <c r="A217" s="2">
        <v>864</v>
      </c>
      <c r="B217" s="2">
        <v>32</v>
      </c>
      <c r="C217" s="6">
        <v>4526</v>
      </c>
      <c r="D217" s="2">
        <v>27</v>
      </c>
      <c r="E217" s="2" t="s">
        <v>26</v>
      </c>
      <c r="F217" s="2" t="s">
        <v>30</v>
      </c>
    </row>
    <row r="218" spans="1:6" x14ac:dyDescent="0.3">
      <c r="A218" s="2">
        <v>329</v>
      </c>
      <c r="B218" s="2">
        <v>31</v>
      </c>
      <c r="C218" s="6">
        <v>4473</v>
      </c>
      <c r="D218" s="2">
        <v>36</v>
      </c>
      <c r="E218" s="2" t="s">
        <v>24</v>
      </c>
      <c r="F218" s="2" t="s">
        <v>30</v>
      </c>
    </row>
    <row r="219" spans="1:6" x14ac:dyDescent="0.3">
      <c r="A219" s="2">
        <v>358</v>
      </c>
      <c r="B219" s="2">
        <v>26</v>
      </c>
      <c r="C219" s="6">
        <v>4463</v>
      </c>
      <c r="D219" s="2">
        <v>36</v>
      </c>
      <c r="E219" s="2" t="s">
        <v>24</v>
      </c>
      <c r="F219" s="2" t="s">
        <v>30</v>
      </c>
    </row>
    <row r="220" spans="1:6" x14ac:dyDescent="0.3">
      <c r="A220" s="2">
        <v>182</v>
      </c>
      <c r="B220" s="2">
        <v>30</v>
      </c>
      <c r="C220" s="6">
        <v>4455</v>
      </c>
      <c r="D220" s="2">
        <v>36</v>
      </c>
      <c r="E220" s="2" t="s">
        <v>23</v>
      </c>
      <c r="F220" s="2" t="s">
        <v>30</v>
      </c>
    </row>
    <row r="221" spans="1:6" x14ac:dyDescent="0.3">
      <c r="A221" s="2">
        <v>911</v>
      </c>
      <c r="B221" s="2">
        <v>34</v>
      </c>
      <c r="C221" s="6">
        <v>4454</v>
      </c>
      <c r="D221" s="2">
        <v>36</v>
      </c>
      <c r="E221" s="2" t="s">
        <v>24</v>
      </c>
      <c r="F221" s="2" t="s">
        <v>30</v>
      </c>
    </row>
    <row r="222" spans="1:6" x14ac:dyDescent="0.3">
      <c r="A222" s="2">
        <v>344</v>
      </c>
      <c r="B222" s="2">
        <v>33</v>
      </c>
      <c r="C222" s="6">
        <v>4439</v>
      </c>
      <c r="D222" s="2">
        <v>18</v>
      </c>
      <c r="E222" s="2" t="s">
        <v>23</v>
      </c>
      <c r="F222" s="2" t="s">
        <v>30</v>
      </c>
    </row>
    <row r="223" spans="1:6" x14ac:dyDescent="0.3">
      <c r="A223" s="2">
        <v>738</v>
      </c>
      <c r="B223" s="2">
        <v>35</v>
      </c>
      <c r="C223" s="6">
        <v>4380</v>
      </c>
      <c r="D223" s="2">
        <v>18</v>
      </c>
      <c r="E223" s="2" t="s">
        <v>25</v>
      </c>
      <c r="F223" s="2" t="s">
        <v>30</v>
      </c>
    </row>
    <row r="224" spans="1:6" x14ac:dyDescent="0.3">
      <c r="A224" s="2">
        <v>640</v>
      </c>
      <c r="B224" s="2">
        <v>26</v>
      </c>
      <c r="C224" s="6">
        <v>4370</v>
      </c>
      <c r="D224" s="2">
        <v>42</v>
      </c>
      <c r="E224" s="2" t="s">
        <v>24</v>
      </c>
      <c r="F224" s="2" t="s">
        <v>30</v>
      </c>
    </row>
    <row r="225" spans="1:6" x14ac:dyDescent="0.3">
      <c r="A225" s="2">
        <v>318</v>
      </c>
      <c r="B225" s="2">
        <v>48</v>
      </c>
      <c r="C225" s="6">
        <v>4351</v>
      </c>
      <c r="D225" s="2">
        <v>24</v>
      </c>
      <c r="E225" s="2" t="s">
        <v>26</v>
      </c>
      <c r="F225" s="2" t="s">
        <v>30</v>
      </c>
    </row>
    <row r="226" spans="1:6" x14ac:dyDescent="0.3">
      <c r="A226" s="2">
        <v>12</v>
      </c>
      <c r="B226" s="2">
        <v>24</v>
      </c>
      <c r="C226" s="6">
        <v>4308</v>
      </c>
      <c r="D226" s="2">
        <v>48</v>
      </c>
      <c r="E226" s="2" t="s">
        <v>23</v>
      </c>
      <c r="F226" s="2" t="s">
        <v>30</v>
      </c>
    </row>
    <row r="227" spans="1:6" x14ac:dyDescent="0.3">
      <c r="A227" s="2">
        <v>200</v>
      </c>
      <c r="B227" s="2">
        <v>40</v>
      </c>
      <c r="C227" s="6">
        <v>4297</v>
      </c>
      <c r="D227" s="2">
        <v>18</v>
      </c>
      <c r="E227" s="2" t="s">
        <v>26</v>
      </c>
      <c r="F227" s="2" t="s">
        <v>30</v>
      </c>
    </row>
    <row r="228" spans="1:6" x14ac:dyDescent="0.3">
      <c r="A228" s="2">
        <v>119</v>
      </c>
      <c r="B228" s="2">
        <v>23</v>
      </c>
      <c r="C228" s="6">
        <v>4281</v>
      </c>
      <c r="D228" s="2">
        <v>33</v>
      </c>
      <c r="E228" s="2" t="s">
        <v>26</v>
      </c>
      <c r="F228" s="2" t="s">
        <v>30</v>
      </c>
    </row>
    <row r="229" spans="1:6" x14ac:dyDescent="0.3">
      <c r="A229" s="2">
        <v>740</v>
      </c>
      <c r="B229" s="2">
        <v>26</v>
      </c>
      <c r="C229" s="6">
        <v>4280</v>
      </c>
      <c r="D229" s="2">
        <v>30</v>
      </c>
      <c r="E229" s="2" t="s">
        <v>23</v>
      </c>
      <c r="F229" s="2" t="s">
        <v>30</v>
      </c>
    </row>
    <row r="230" spans="1:6" x14ac:dyDescent="0.3">
      <c r="A230" s="2">
        <v>385</v>
      </c>
      <c r="B230" s="2">
        <v>26</v>
      </c>
      <c r="C230" s="6">
        <v>4272</v>
      </c>
      <c r="D230" s="2">
        <v>30</v>
      </c>
      <c r="E230" s="2" t="s">
        <v>23</v>
      </c>
      <c r="F230" s="2" t="s">
        <v>30</v>
      </c>
    </row>
    <row r="231" spans="1:6" x14ac:dyDescent="0.3">
      <c r="A231" s="2">
        <v>803</v>
      </c>
      <c r="B231" s="2">
        <v>24</v>
      </c>
      <c r="C231" s="6">
        <v>4272</v>
      </c>
      <c r="D231" s="2">
        <v>20</v>
      </c>
      <c r="E231" s="2" t="s">
        <v>26</v>
      </c>
      <c r="F231" s="2" t="s">
        <v>30</v>
      </c>
    </row>
    <row r="232" spans="1:6" x14ac:dyDescent="0.3">
      <c r="A232" s="2">
        <v>321</v>
      </c>
      <c r="B232" s="2">
        <v>28</v>
      </c>
      <c r="C232" s="6">
        <v>4249</v>
      </c>
      <c r="D232" s="2">
        <v>30</v>
      </c>
      <c r="E232" s="2" t="s">
        <v>25</v>
      </c>
      <c r="F232" s="2" t="s">
        <v>30</v>
      </c>
    </row>
    <row r="233" spans="1:6" x14ac:dyDescent="0.3">
      <c r="A233" s="2">
        <v>598</v>
      </c>
      <c r="B233" s="2">
        <v>36</v>
      </c>
      <c r="C233" s="6">
        <v>4241</v>
      </c>
      <c r="D233" s="2">
        <v>24</v>
      </c>
      <c r="E233" s="2" t="s">
        <v>23</v>
      </c>
      <c r="F233" s="2" t="s">
        <v>30</v>
      </c>
    </row>
    <row r="234" spans="1:6" x14ac:dyDescent="0.3">
      <c r="A234" s="2">
        <v>659</v>
      </c>
      <c r="B234" s="2">
        <v>28</v>
      </c>
      <c r="C234" s="6">
        <v>4221</v>
      </c>
      <c r="D234" s="2">
        <v>30</v>
      </c>
      <c r="E234" s="2" t="s">
        <v>23</v>
      </c>
      <c r="F234" s="2" t="s">
        <v>30</v>
      </c>
    </row>
    <row r="235" spans="1:6" x14ac:dyDescent="0.3">
      <c r="A235" s="2">
        <v>231</v>
      </c>
      <c r="B235" s="2">
        <v>26</v>
      </c>
      <c r="C235" s="6">
        <v>4210</v>
      </c>
      <c r="D235" s="2">
        <v>36</v>
      </c>
      <c r="E235" s="2" t="s">
        <v>24</v>
      </c>
      <c r="F235" s="2" t="s">
        <v>30</v>
      </c>
    </row>
    <row r="236" spans="1:6" x14ac:dyDescent="0.3">
      <c r="A236" s="2">
        <v>339</v>
      </c>
      <c r="B236" s="2">
        <v>28</v>
      </c>
      <c r="C236" s="6">
        <v>4169</v>
      </c>
      <c r="D236" s="2">
        <v>24</v>
      </c>
      <c r="E236" s="2" t="s">
        <v>26</v>
      </c>
      <c r="F236" s="2" t="s">
        <v>30</v>
      </c>
    </row>
    <row r="237" spans="1:6" x14ac:dyDescent="0.3">
      <c r="A237" s="2">
        <v>828</v>
      </c>
      <c r="B237" s="2">
        <v>36</v>
      </c>
      <c r="C237" s="6">
        <v>4165</v>
      </c>
      <c r="D237" s="2">
        <v>18</v>
      </c>
      <c r="E237" s="2" t="s">
        <v>23</v>
      </c>
      <c r="F237" s="2" t="s">
        <v>30</v>
      </c>
    </row>
    <row r="238" spans="1:6" x14ac:dyDescent="0.3">
      <c r="A238" s="2">
        <v>900</v>
      </c>
      <c r="B238" s="2">
        <v>42</v>
      </c>
      <c r="C238" s="6">
        <v>4153</v>
      </c>
      <c r="D238" s="2">
        <v>18</v>
      </c>
      <c r="E238" s="2" t="s">
        <v>26</v>
      </c>
      <c r="F238" s="2" t="s">
        <v>30</v>
      </c>
    </row>
    <row r="239" spans="1:6" x14ac:dyDescent="0.3">
      <c r="A239" s="2">
        <v>254</v>
      </c>
      <c r="B239" s="2">
        <v>35</v>
      </c>
      <c r="C239" s="6">
        <v>4151</v>
      </c>
      <c r="D239" s="2">
        <v>24</v>
      </c>
      <c r="E239" s="2" t="s">
        <v>26</v>
      </c>
      <c r="F239" s="2" t="s">
        <v>30</v>
      </c>
    </row>
    <row r="240" spans="1:6" x14ac:dyDescent="0.3">
      <c r="A240" s="2">
        <v>671</v>
      </c>
      <c r="B240" s="2">
        <v>27</v>
      </c>
      <c r="C240" s="6">
        <v>4139</v>
      </c>
      <c r="D240" s="2">
        <v>24</v>
      </c>
      <c r="E240" s="2" t="s">
        <v>23</v>
      </c>
      <c r="F240" s="2" t="s">
        <v>30</v>
      </c>
    </row>
    <row r="241" spans="1:6" x14ac:dyDescent="0.3">
      <c r="A241" s="2">
        <v>953</v>
      </c>
      <c r="B241" s="2">
        <v>28</v>
      </c>
      <c r="C241" s="6">
        <v>4113</v>
      </c>
      <c r="D241" s="2">
        <v>24</v>
      </c>
      <c r="E241" s="2" t="s">
        <v>27</v>
      </c>
      <c r="F241" s="2" t="s">
        <v>30</v>
      </c>
    </row>
    <row r="242" spans="1:6" x14ac:dyDescent="0.3">
      <c r="A242" s="2">
        <v>335</v>
      </c>
      <c r="B242" s="2">
        <v>23</v>
      </c>
      <c r="C242" s="6">
        <v>4110</v>
      </c>
      <c r="D242" s="2">
        <v>24</v>
      </c>
      <c r="E242" s="2" t="s">
        <v>26</v>
      </c>
      <c r="F242" s="2" t="s">
        <v>30</v>
      </c>
    </row>
    <row r="243" spans="1:6" x14ac:dyDescent="0.3">
      <c r="A243" s="2">
        <v>885</v>
      </c>
      <c r="B243" s="2">
        <v>43</v>
      </c>
      <c r="C243" s="6">
        <v>4057</v>
      </c>
      <c r="D243" s="2">
        <v>24</v>
      </c>
      <c r="E243" s="2" t="s">
        <v>26</v>
      </c>
      <c r="F243" s="2" t="s">
        <v>30</v>
      </c>
    </row>
    <row r="244" spans="1:6" x14ac:dyDescent="0.3">
      <c r="A244" s="2">
        <v>629</v>
      </c>
      <c r="B244" s="2">
        <v>36</v>
      </c>
      <c r="C244" s="6">
        <v>4042</v>
      </c>
      <c r="D244" s="2">
        <v>42</v>
      </c>
      <c r="E244" s="2" t="s">
        <v>26</v>
      </c>
      <c r="F244" s="2" t="s">
        <v>30</v>
      </c>
    </row>
    <row r="245" spans="1:6" x14ac:dyDescent="0.3">
      <c r="A245" s="2">
        <v>852</v>
      </c>
      <c r="B245" s="2">
        <v>43</v>
      </c>
      <c r="C245" s="6">
        <v>4042</v>
      </c>
      <c r="D245" s="2">
        <v>24</v>
      </c>
      <c r="E245" s="2" t="s">
        <v>27</v>
      </c>
      <c r="F245" s="2" t="s">
        <v>30</v>
      </c>
    </row>
    <row r="246" spans="1:6" x14ac:dyDescent="0.3">
      <c r="A246" s="2">
        <v>32</v>
      </c>
      <c r="B246" s="2">
        <v>27</v>
      </c>
      <c r="C246" s="6">
        <v>4020</v>
      </c>
      <c r="D246" s="2">
        <v>24</v>
      </c>
      <c r="E246" s="2" t="s">
        <v>26</v>
      </c>
      <c r="F246" s="2" t="s">
        <v>30</v>
      </c>
    </row>
    <row r="247" spans="1:6" x14ac:dyDescent="0.3">
      <c r="A247" s="2">
        <v>959</v>
      </c>
      <c r="B247" s="2">
        <v>45</v>
      </c>
      <c r="C247" s="6">
        <v>4006</v>
      </c>
      <c r="D247" s="2">
        <v>28</v>
      </c>
      <c r="E247" s="2" t="s">
        <v>25</v>
      </c>
      <c r="F247" s="2" t="s">
        <v>30</v>
      </c>
    </row>
    <row r="248" spans="1:6" x14ac:dyDescent="0.3">
      <c r="A248" s="2">
        <v>736</v>
      </c>
      <c r="B248" s="2">
        <v>29</v>
      </c>
      <c r="C248" s="6">
        <v>3990</v>
      </c>
      <c r="D248" s="2">
        <v>36</v>
      </c>
      <c r="E248" s="2" t="s">
        <v>31</v>
      </c>
      <c r="F248" s="2" t="s">
        <v>30</v>
      </c>
    </row>
    <row r="249" spans="1:6" x14ac:dyDescent="0.3">
      <c r="A249" s="2">
        <v>569</v>
      </c>
      <c r="B249" s="2">
        <v>41</v>
      </c>
      <c r="C249" s="6">
        <v>3979</v>
      </c>
      <c r="D249" s="2">
        <v>48</v>
      </c>
      <c r="E249" s="2" t="s">
        <v>24</v>
      </c>
      <c r="F249" s="2" t="s">
        <v>30</v>
      </c>
    </row>
    <row r="250" spans="1:6" x14ac:dyDescent="0.3">
      <c r="A250" s="2">
        <v>846</v>
      </c>
      <c r="B250" s="2">
        <v>35</v>
      </c>
      <c r="C250" s="6">
        <v>3976</v>
      </c>
      <c r="D250" s="2">
        <v>21</v>
      </c>
      <c r="E250" s="2" t="s">
        <v>26</v>
      </c>
      <c r="F250" s="2" t="s">
        <v>30</v>
      </c>
    </row>
    <row r="251" spans="1:6" x14ac:dyDescent="0.3">
      <c r="A251" s="2">
        <v>656</v>
      </c>
      <c r="B251" s="2">
        <v>22</v>
      </c>
      <c r="C251" s="6">
        <v>3973</v>
      </c>
      <c r="D251" s="2">
        <v>14</v>
      </c>
      <c r="E251" s="2" t="s">
        <v>25</v>
      </c>
      <c r="F251" s="2" t="s">
        <v>30</v>
      </c>
    </row>
    <row r="252" spans="1:6" x14ac:dyDescent="0.3">
      <c r="A252" s="2">
        <v>169</v>
      </c>
      <c r="B252" s="2">
        <v>25</v>
      </c>
      <c r="C252" s="6">
        <v>3972</v>
      </c>
      <c r="D252" s="2">
        <v>24</v>
      </c>
      <c r="E252" s="2" t="s">
        <v>26</v>
      </c>
      <c r="F252" s="2" t="s">
        <v>30</v>
      </c>
    </row>
    <row r="253" spans="1:6" x14ac:dyDescent="0.3">
      <c r="A253" s="2">
        <v>827</v>
      </c>
      <c r="B253" s="2">
        <v>33</v>
      </c>
      <c r="C253" s="6">
        <v>3966</v>
      </c>
      <c r="D253" s="2">
        <v>18</v>
      </c>
      <c r="E253" s="2" t="s">
        <v>25</v>
      </c>
      <c r="F253" s="2" t="s">
        <v>30</v>
      </c>
    </row>
    <row r="254" spans="1:6" x14ac:dyDescent="0.3">
      <c r="A254" s="2">
        <v>77</v>
      </c>
      <c r="B254" s="2">
        <v>34</v>
      </c>
      <c r="C254" s="6">
        <v>3965</v>
      </c>
      <c r="D254" s="2">
        <v>42</v>
      </c>
      <c r="E254" s="2" t="s">
        <v>24</v>
      </c>
      <c r="F254" s="2" t="s">
        <v>30</v>
      </c>
    </row>
    <row r="255" spans="1:6" x14ac:dyDescent="0.3">
      <c r="A255" s="2">
        <v>859</v>
      </c>
      <c r="B255" s="2">
        <v>29</v>
      </c>
      <c r="C255" s="6">
        <v>3959</v>
      </c>
      <c r="D255" s="2">
        <v>15</v>
      </c>
      <c r="E255" s="2" t="s">
        <v>25</v>
      </c>
      <c r="F255" s="2" t="s">
        <v>30</v>
      </c>
    </row>
    <row r="256" spans="1:6" x14ac:dyDescent="0.3">
      <c r="A256" s="2">
        <v>994</v>
      </c>
      <c r="B256" s="2">
        <v>30</v>
      </c>
      <c r="C256" s="6">
        <v>3959</v>
      </c>
      <c r="D256" s="2">
        <v>36</v>
      </c>
      <c r="E256" s="2" t="s">
        <v>26</v>
      </c>
      <c r="F256" s="2" t="s">
        <v>30</v>
      </c>
    </row>
    <row r="257" spans="1:6" x14ac:dyDescent="0.3">
      <c r="A257" s="2">
        <v>345</v>
      </c>
      <c r="B257" s="2">
        <v>37</v>
      </c>
      <c r="C257" s="6">
        <v>3949</v>
      </c>
      <c r="D257" s="2">
        <v>10</v>
      </c>
      <c r="E257" s="2" t="s">
        <v>25</v>
      </c>
      <c r="F257" s="2" t="s">
        <v>30</v>
      </c>
    </row>
    <row r="258" spans="1:6" x14ac:dyDescent="0.3">
      <c r="A258" s="2">
        <v>970</v>
      </c>
      <c r="B258" s="2">
        <v>40</v>
      </c>
      <c r="C258" s="6">
        <v>3939</v>
      </c>
      <c r="D258" s="2">
        <v>11</v>
      </c>
      <c r="E258" s="2" t="s">
        <v>25</v>
      </c>
      <c r="F258" s="2" t="s">
        <v>30</v>
      </c>
    </row>
    <row r="259" spans="1:6" x14ac:dyDescent="0.3">
      <c r="A259" s="2">
        <v>815</v>
      </c>
      <c r="B259" s="2">
        <v>46</v>
      </c>
      <c r="C259" s="6">
        <v>3931</v>
      </c>
      <c r="D259" s="2">
        <v>48</v>
      </c>
      <c r="E259" s="2" t="s">
        <v>25</v>
      </c>
      <c r="F259" s="2" t="s">
        <v>30</v>
      </c>
    </row>
    <row r="260" spans="1:6" x14ac:dyDescent="0.3">
      <c r="A260" s="2">
        <v>193</v>
      </c>
      <c r="B260" s="2">
        <v>36</v>
      </c>
      <c r="C260" s="6">
        <v>3915</v>
      </c>
      <c r="D260" s="2">
        <v>27</v>
      </c>
      <c r="E260" s="2" t="s">
        <v>23</v>
      </c>
      <c r="F260" s="2" t="s">
        <v>30</v>
      </c>
    </row>
    <row r="261" spans="1:6" x14ac:dyDescent="0.3">
      <c r="A261" s="2">
        <v>623</v>
      </c>
      <c r="B261" s="2">
        <v>38</v>
      </c>
      <c r="C261" s="6">
        <v>3914</v>
      </c>
      <c r="D261" s="2">
        <v>48</v>
      </c>
      <c r="E261" s="2" t="s">
        <v>23</v>
      </c>
      <c r="F261" s="2" t="s">
        <v>30</v>
      </c>
    </row>
    <row r="262" spans="1:6" x14ac:dyDescent="0.3">
      <c r="A262" s="2">
        <v>218</v>
      </c>
      <c r="B262" s="2">
        <v>23</v>
      </c>
      <c r="C262" s="6">
        <v>3913</v>
      </c>
      <c r="D262" s="2">
        <v>36</v>
      </c>
      <c r="E262" s="2" t="s">
        <v>24</v>
      </c>
      <c r="F262" s="2" t="s">
        <v>30</v>
      </c>
    </row>
    <row r="263" spans="1:6" x14ac:dyDescent="0.3">
      <c r="A263" s="2">
        <v>457</v>
      </c>
      <c r="B263" s="2">
        <v>36</v>
      </c>
      <c r="C263" s="6">
        <v>3905</v>
      </c>
      <c r="D263" s="2">
        <v>11</v>
      </c>
      <c r="E263" s="2" t="s">
        <v>25</v>
      </c>
      <c r="F263" s="2" t="s">
        <v>30</v>
      </c>
    </row>
    <row r="264" spans="1:6" x14ac:dyDescent="0.3">
      <c r="A264" s="2">
        <v>285</v>
      </c>
      <c r="B264" s="2">
        <v>37</v>
      </c>
      <c r="C264" s="6">
        <v>3878</v>
      </c>
      <c r="D264" s="2">
        <v>24</v>
      </c>
      <c r="E264" s="2" t="s">
        <v>25</v>
      </c>
      <c r="F264" s="2" t="s">
        <v>30</v>
      </c>
    </row>
    <row r="265" spans="1:6" x14ac:dyDescent="0.3">
      <c r="A265" s="2">
        <v>780</v>
      </c>
      <c r="B265" s="2">
        <v>67</v>
      </c>
      <c r="C265" s="6">
        <v>3872</v>
      </c>
      <c r="D265" s="2">
        <v>18</v>
      </c>
      <c r="E265" s="2" t="s">
        <v>29</v>
      </c>
      <c r="F265" s="2" t="s">
        <v>30</v>
      </c>
    </row>
    <row r="266" spans="1:6" x14ac:dyDescent="0.3">
      <c r="A266" s="2">
        <v>122</v>
      </c>
      <c r="B266" s="2">
        <v>41</v>
      </c>
      <c r="C266" s="6">
        <v>3868</v>
      </c>
      <c r="D266" s="2">
        <v>24</v>
      </c>
      <c r="E266" s="2" t="s">
        <v>27</v>
      </c>
      <c r="F266" s="2" t="s">
        <v>30</v>
      </c>
    </row>
    <row r="267" spans="1:6" x14ac:dyDescent="0.3">
      <c r="A267" s="2">
        <v>600</v>
      </c>
      <c r="B267" s="2">
        <v>32</v>
      </c>
      <c r="C267" s="6">
        <v>3863</v>
      </c>
      <c r="D267" s="2">
        <v>24</v>
      </c>
      <c r="E267" s="2" t="s">
        <v>23</v>
      </c>
      <c r="F267" s="2" t="s">
        <v>30</v>
      </c>
    </row>
    <row r="268" spans="1:6" x14ac:dyDescent="0.3">
      <c r="A268" s="2">
        <v>997</v>
      </c>
      <c r="B268" s="2">
        <v>40</v>
      </c>
      <c r="C268" s="6">
        <v>3857</v>
      </c>
      <c r="D268" s="2">
        <v>30</v>
      </c>
      <c r="E268" s="2" t="s">
        <v>27</v>
      </c>
      <c r="F268" s="2" t="s">
        <v>30</v>
      </c>
    </row>
    <row r="269" spans="1:6" x14ac:dyDescent="0.3">
      <c r="A269" s="2">
        <v>367</v>
      </c>
      <c r="B269" s="2">
        <v>27</v>
      </c>
      <c r="C269" s="6">
        <v>3850</v>
      </c>
      <c r="D269" s="2">
        <v>18</v>
      </c>
      <c r="E269" s="2" t="s">
        <v>27</v>
      </c>
      <c r="F269" s="2" t="s">
        <v>30</v>
      </c>
    </row>
    <row r="270" spans="1:6" x14ac:dyDescent="0.3">
      <c r="A270" s="2">
        <v>192</v>
      </c>
      <c r="B270" s="2">
        <v>34</v>
      </c>
      <c r="C270" s="6">
        <v>3844</v>
      </c>
      <c r="D270" s="2">
        <v>48</v>
      </c>
      <c r="E270" s="2" t="s">
        <v>23</v>
      </c>
      <c r="F270" s="2" t="s">
        <v>30</v>
      </c>
    </row>
    <row r="271" spans="1:6" x14ac:dyDescent="0.3">
      <c r="A271" s="2">
        <v>212</v>
      </c>
      <c r="B271" s="2">
        <v>45</v>
      </c>
      <c r="C271" s="6">
        <v>3835</v>
      </c>
      <c r="D271" s="2">
        <v>36</v>
      </c>
      <c r="E271" s="2" t="s">
        <v>24</v>
      </c>
      <c r="F271" s="2" t="s">
        <v>30</v>
      </c>
    </row>
    <row r="272" spans="1:6" x14ac:dyDescent="0.3">
      <c r="A272" s="2">
        <v>80</v>
      </c>
      <c r="B272" s="2">
        <v>22</v>
      </c>
      <c r="C272" s="6">
        <v>3832</v>
      </c>
      <c r="D272" s="2">
        <v>30</v>
      </c>
      <c r="E272" s="2" t="s">
        <v>26</v>
      </c>
      <c r="F272" s="2" t="s">
        <v>30</v>
      </c>
    </row>
    <row r="273" spans="1:6" x14ac:dyDescent="0.3">
      <c r="A273" s="2">
        <v>630</v>
      </c>
      <c r="B273" s="2">
        <v>64</v>
      </c>
      <c r="C273" s="6">
        <v>3832</v>
      </c>
      <c r="D273" s="2">
        <v>9</v>
      </c>
      <c r="E273" s="2" t="s">
        <v>28</v>
      </c>
      <c r="F273" s="2" t="s">
        <v>30</v>
      </c>
    </row>
    <row r="274" spans="1:6" x14ac:dyDescent="0.3">
      <c r="A274" s="2">
        <v>259</v>
      </c>
      <c r="B274" s="2">
        <v>23</v>
      </c>
      <c r="C274" s="6">
        <v>3812</v>
      </c>
      <c r="D274" s="2">
        <v>15</v>
      </c>
      <c r="E274" s="2" t="s">
        <v>27</v>
      </c>
      <c r="F274" s="2" t="s">
        <v>30</v>
      </c>
    </row>
    <row r="275" spans="1:6" x14ac:dyDescent="0.3">
      <c r="A275" s="2">
        <v>302</v>
      </c>
      <c r="B275" s="2">
        <v>42</v>
      </c>
      <c r="C275" s="6">
        <v>3804</v>
      </c>
      <c r="D275" s="2">
        <v>36</v>
      </c>
      <c r="E275" s="2" t="s">
        <v>24</v>
      </c>
      <c r="F275" s="2" t="s">
        <v>30</v>
      </c>
    </row>
    <row r="276" spans="1:6" x14ac:dyDescent="0.3">
      <c r="A276" s="2">
        <v>825</v>
      </c>
      <c r="B276" s="2">
        <v>35</v>
      </c>
      <c r="C276" s="6">
        <v>3780</v>
      </c>
      <c r="D276" s="2">
        <v>18</v>
      </c>
      <c r="E276" s="2" t="s">
        <v>26</v>
      </c>
      <c r="F276" s="2" t="s">
        <v>30</v>
      </c>
    </row>
    <row r="277" spans="1:6" x14ac:dyDescent="0.3">
      <c r="A277" s="2">
        <v>184</v>
      </c>
      <c r="B277" s="2">
        <v>50</v>
      </c>
      <c r="C277" s="6">
        <v>3777</v>
      </c>
      <c r="D277" s="2">
        <v>24</v>
      </c>
      <c r="E277" s="2" t="s">
        <v>26</v>
      </c>
      <c r="F277" s="2" t="s">
        <v>30</v>
      </c>
    </row>
    <row r="278" spans="1:6" x14ac:dyDescent="0.3">
      <c r="A278" s="2">
        <v>907</v>
      </c>
      <c r="B278" s="2">
        <v>24</v>
      </c>
      <c r="C278" s="6">
        <v>3763</v>
      </c>
      <c r="D278" s="2">
        <v>21</v>
      </c>
      <c r="E278" s="2" t="s">
        <v>25</v>
      </c>
      <c r="F278" s="2" t="s">
        <v>30</v>
      </c>
    </row>
    <row r="279" spans="1:6" x14ac:dyDescent="0.3">
      <c r="A279" s="2">
        <v>348</v>
      </c>
      <c r="B279" s="2">
        <v>23</v>
      </c>
      <c r="C279" s="6">
        <v>3758</v>
      </c>
      <c r="D279" s="2">
        <v>24</v>
      </c>
      <c r="E279" s="2" t="s">
        <v>24</v>
      </c>
      <c r="F279" s="2" t="s">
        <v>30</v>
      </c>
    </row>
    <row r="280" spans="1:6" x14ac:dyDescent="0.3">
      <c r="A280" s="2">
        <v>488</v>
      </c>
      <c r="B280" s="2">
        <v>62</v>
      </c>
      <c r="C280" s="6">
        <v>3757</v>
      </c>
      <c r="D280" s="2">
        <v>24</v>
      </c>
      <c r="E280" s="2" t="s">
        <v>25</v>
      </c>
      <c r="F280" s="2" t="s">
        <v>30</v>
      </c>
    </row>
    <row r="281" spans="1:6" x14ac:dyDescent="0.3">
      <c r="A281" s="2">
        <v>313</v>
      </c>
      <c r="B281" s="2">
        <v>26</v>
      </c>
      <c r="C281" s="6">
        <v>3749</v>
      </c>
      <c r="D281" s="2">
        <v>24</v>
      </c>
      <c r="E281" s="2" t="s">
        <v>26</v>
      </c>
      <c r="F281" s="2" t="s">
        <v>30</v>
      </c>
    </row>
    <row r="282" spans="1:6" x14ac:dyDescent="0.3">
      <c r="A282" s="2">
        <v>908</v>
      </c>
      <c r="B282" s="2">
        <v>27</v>
      </c>
      <c r="C282" s="6">
        <v>3711</v>
      </c>
      <c r="D282" s="2">
        <v>36</v>
      </c>
      <c r="E282" s="2" t="s">
        <v>28</v>
      </c>
      <c r="F282" s="2" t="s">
        <v>30</v>
      </c>
    </row>
    <row r="283" spans="1:6" x14ac:dyDescent="0.3">
      <c r="A283" s="2">
        <v>618</v>
      </c>
      <c r="B283" s="2">
        <v>37</v>
      </c>
      <c r="C283" s="6">
        <v>3676</v>
      </c>
      <c r="D283" s="2">
        <v>6</v>
      </c>
      <c r="E283" s="2" t="s">
        <v>25</v>
      </c>
      <c r="F283" s="2" t="s">
        <v>30</v>
      </c>
    </row>
    <row r="284" spans="1:6" x14ac:dyDescent="0.3">
      <c r="A284" s="2">
        <v>631</v>
      </c>
      <c r="B284" s="2">
        <v>28</v>
      </c>
      <c r="C284" s="6">
        <v>3660</v>
      </c>
      <c r="D284" s="2">
        <v>24</v>
      </c>
      <c r="E284" s="2" t="s">
        <v>24</v>
      </c>
      <c r="F284" s="2" t="s">
        <v>30</v>
      </c>
    </row>
    <row r="285" spans="1:6" x14ac:dyDescent="0.3">
      <c r="A285" s="2">
        <v>957</v>
      </c>
      <c r="B285" s="2">
        <v>49</v>
      </c>
      <c r="C285" s="6">
        <v>3656</v>
      </c>
      <c r="D285" s="2">
        <v>30</v>
      </c>
      <c r="E285" s="2" t="s">
        <v>24</v>
      </c>
      <c r="F285" s="2" t="s">
        <v>30</v>
      </c>
    </row>
    <row r="286" spans="1:6" x14ac:dyDescent="0.3">
      <c r="A286" s="2">
        <v>621</v>
      </c>
      <c r="B286" s="2">
        <v>27</v>
      </c>
      <c r="C286" s="6">
        <v>3652</v>
      </c>
      <c r="D286" s="2">
        <v>21</v>
      </c>
      <c r="E286" s="2" t="s">
        <v>23</v>
      </c>
      <c r="F286" s="2" t="s">
        <v>30</v>
      </c>
    </row>
    <row r="287" spans="1:6" x14ac:dyDescent="0.3">
      <c r="A287" s="2">
        <v>690</v>
      </c>
      <c r="B287" s="2">
        <v>31</v>
      </c>
      <c r="C287" s="6">
        <v>3651</v>
      </c>
      <c r="D287" s="2">
        <v>12</v>
      </c>
      <c r="E287" s="2" t="s">
        <v>25</v>
      </c>
      <c r="F287" s="2" t="s">
        <v>30</v>
      </c>
    </row>
    <row r="288" spans="1:6" x14ac:dyDescent="0.3">
      <c r="A288" s="2">
        <v>368</v>
      </c>
      <c r="B288" s="2">
        <v>22</v>
      </c>
      <c r="C288" s="6">
        <v>3650</v>
      </c>
      <c r="D288" s="2">
        <v>18</v>
      </c>
      <c r="E288" s="2" t="s">
        <v>26</v>
      </c>
      <c r="F288" s="2" t="s">
        <v>30</v>
      </c>
    </row>
    <row r="289" spans="1:6" x14ac:dyDescent="0.3">
      <c r="A289" s="2">
        <v>320</v>
      </c>
      <c r="B289" s="2">
        <v>27</v>
      </c>
      <c r="C289" s="6">
        <v>3643</v>
      </c>
      <c r="D289" s="2">
        <v>15</v>
      </c>
      <c r="E289" s="2" t="s">
        <v>26</v>
      </c>
      <c r="F289" s="2" t="s">
        <v>30</v>
      </c>
    </row>
    <row r="290" spans="1:6" x14ac:dyDescent="0.3">
      <c r="A290" s="2">
        <v>614</v>
      </c>
      <c r="B290" s="2">
        <v>22</v>
      </c>
      <c r="C290" s="6">
        <v>3632</v>
      </c>
      <c r="D290" s="2">
        <v>24</v>
      </c>
      <c r="E290" s="2" t="s">
        <v>27</v>
      </c>
      <c r="F290" s="2" t="s">
        <v>30</v>
      </c>
    </row>
    <row r="291" spans="1:6" x14ac:dyDescent="0.3">
      <c r="A291" s="2">
        <v>483</v>
      </c>
      <c r="B291" s="2">
        <v>57</v>
      </c>
      <c r="C291" s="6">
        <v>3622</v>
      </c>
      <c r="D291" s="2">
        <v>30</v>
      </c>
      <c r="E291" s="2" t="s">
        <v>26</v>
      </c>
      <c r="F291" s="2" t="s">
        <v>30</v>
      </c>
    </row>
    <row r="292" spans="1:6" x14ac:dyDescent="0.3">
      <c r="A292" s="2">
        <v>950</v>
      </c>
      <c r="B292" s="2">
        <v>31</v>
      </c>
      <c r="C292" s="6">
        <v>3621</v>
      </c>
      <c r="D292" s="2">
        <v>24</v>
      </c>
      <c r="E292" s="2" t="s">
        <v>24</v>
      </c>
      <c r="F292" s="2" t="s">
        <v>30</v>
      </c>
    </row>
    <row r="293" spans="1:6" x14ac:dyDescent="0.3">
      <c r="A293" s="2">
        <v>461</v>
      </c>
      <c r="B293" s="2">
        <v>37</v>
      </c>
      <c r="C293" s="6">
        <v>3620</v>
      </c>
      <c r="D293" s="2">
        <v>36</v>
      </c>
      <c r="E293" s="2" t="s">
        <v>26</v>
      </c>
      <c r="F293" s="2" t="s">
        <v>30</v>
      </c>
    </row>
    <row r="294" spans="1:6" x14ac:dyDescent="0.3">
      <c r="A294" s="2">
        <v>94</v>
      </c>
      <c r="B294" s="2">
        <v>20</v>
      </c>
      <c r="C294" s="6">
        <v>3617</v>
      </c>
      <c r="D294" s="2">
        <v>24</v>
      </c>
      <c r="E294" s="2" t="s">
        <v>26</v>
      </c>
      <c r="F294" s="2" t="s">
        <v>30</v>
      </c>
    </row>
    <row r="295" spans="1:6" x14ac:dyDescent="0.3">
      <c r="A295" s="2">
        <v>769</v>
      </c>
      <c r="B295" s="2">
        <v>28</v>
      </c>
      <c r="C295" s="6">
        <v>3617</v>
      </c>
      <c r="D295" s="2">
        <v>12</v>
      </c>
      <c r="E295" s="2" t="s">
        <v>26</v>
      </c>
      <c r="F295" s="2" t="s">
        <v>30</v>
      </c>
    </row>
    <row r="296" spans="1:6" x14ac:dyDescent="0.3">
      <c r="A296" s="2">
        <v>538</v>
      </c>
      <c r="B296" s="2">
        <v>37</v>
      </c>
      <c r="C296" s="6">
        <v>3612</v>
      </c>
      <c r="D296" s="2">
        <v>18</v>
      </c>
      <c r="E296" s="2" t="s">
        <v>26</v>
      </c>
      <c r="F296" s="2" t="s">
        <v>30</v>
      </c>
    </row>
    <row r="297" spans="1:6" x14ac:dyDescent="0.3">
      <c r="A297" s="2">
        <v>668</v>
      </c>
      <c r="B297" s="2">
        <v>27</v>
      </c>
      <c r="C297" s="6">
        <v>3609</v>
      </c>
      <c r="D297" s="2">
        <v>48</v>
      </c>
      <c r="E297" s="2" t="s">
        <v>23</v>
      </c>
      <c r="F297" s="2" t="s">
        <v>30</v>
      </c>
    </row>
    <row r="298" spans="1:6" x14ac:dyDescent="0.3">
      <c r="A298" s="2">
        <v>342</v>
      </c>
      <c r="B298" s="2">
        <v>26</v>
      </c>
      <c r="C298" s="6">
        <v>3599</v>
      </c>
      <c r="D298" s="2">
        <v>21</v>
      </c>
      <c r="E298" s="2" t="s">
        <v>26</v>
      </c>
      <c r="F298" s="2" t="s">
        <v>30</v>
      </c>
    </row>
    <row r="299" spans="1:6" x14ac:dyDescent="0.3">
      <c r="A299" s="2">
        <v>878</v>
      </c>
      <c r="B299" s="2">
        <v>28</v>
      </c>
      <c r="C299" s="6">
        <v>3595</v>
      </c>
      <c r="D299" s="2">
        <v>36</v>
      </c>
      <c r="E299" s="2" t="s">
        <v>24</v>
      </c>
      <c r="F299" s="2" t="s">
        <v>30</v>
      </c>
    </row>
    <row r="300" spans="1:6" x14ac:dyDescent="0.3">
      <c r="A300" s="2">
        <v>909</v>
      </c>
      <c r="B300" s="2">
        <v>46</v>
      </c>
      <c r="C300" s="6">
        <v>3594</v>
      </c>
      <c r="D300" s="2">
        <v>15</v>
      </c>
      <c r="E300" s="2" t="s">
        <v>27</v>
      </c>
      <c r="F300" s="2" t="s">
        <v>30</v>
      </c>
    </row>
    <row r="301" spans="1:6" x14ac:dyDescent="0.3">
      <c r="A301" s="2">
        <v>875</v>
      </c>
      <c r="B301" s="2">
        <v>29</v>
      </c>
      <c r="C301" s="6">
        <v>3590</v>
      </c>
      <c r="D301" s="2">
        <v>12</v>
      </c>
      <c r="E301" s="2" t="s">
        <v>26</v>
      </c>
      <c r="F301" s="2" t="s">
        <v>30</v>
      </c>
    </row>
    <row r="302" spans="1:6" x14ac:dyDescent="0.3">
      <c r="A302" s="2">
        <v>951</v>
      </c>
      <c r="B302" s="2">
        <v>40</v>
      </c>
      <c r="C302" s="6">
        <v>3590</v>
      </c>
      <c r="D302" s="2">
        <v>18</v>
      </c>
      <c r="E302" s="2" t="s">
        <v>23</v>
      </c>
      <c r="F302" s="2" t="s">
        <v>30</v>
      </c>
    </row>
    <row r="303" spans="1:6" x14ac:dyDescent="0.3">
      <c r="A303" s="2">
        <v>116</v>
      </c>
      <c r="B303" s="2">
        <v>47</v>
      </c>
      <c r="C303" s="6">
        <v>3578</v>
      </c>
      <c r="D303" s="2">
        <v>48</v>
      </c>
      <c r="E303" s="2" t="s">
        <v>24</v>
      </c>
      <c r="F303" s="2" t="s">
        <v>30</v>
      </c>
    </row>
    <row r="304" spans="1:6" x14ac:dyDescent="0.3">
      <c r="A304" s="2">
        <v>860</v>
      </c>
      <c r="B304" s="2">
        <v>26</v>
      </c>
      <c r="C304" s="6">
        <v>3577</v>
      </c>
      <c r="D304" s="2">
        <v>9</v>
      </c>
      <c r="E304" s="2" t="s">
        <v>25</v>
      </c>
      <c r="F304" s="2" t="s">
        <v>30</v>
      </c>
    </row>
    <row r="305" spans="1:6" x14ac:dyDescent="0.3">
      <c r="A305" s="2">
        <v>481</v>
      </c>
      <c r="B305" s="2">
        <v>23</v>
      </c>
      <c r="C305" s="6">
        <v>3573</v>
      </c>
      <c r="D305" s="2">
        <v>12</v>
      </c>
      <c r="E305" s="2" t="s">
        <v>24</v>
      </c>
      <c r="F305" s="2" t="s">
        <v>30</v>
      </c>
    </row>
    <row r="306" spans="1:6" x14ac:dyDescent="0.3">
      <c r="A306" s="2">
        <v>968</v>
      </c>
      <c r="B306" s="2">
        <v>54</v>
      </c>
      <c r="C306" s="6">
        <v>3568</v>
      </c>
      <c r="D306" s="2">
        <v>15</v>
      </c>
      <c r="E306" s="2" t="s">
        <v>24</v>
      </c>
      <c r="F306" s="2" t="s">
        <v>30</v>
      </c>
    </row>
    <row r="307" spans="1:6" x14ac:dyDescent="0.3">
      <c r="A307" s="2">
        <v>146</v>
      </c>
      <c r="B307" s="2">
        <v>30</v>
      </c>
      <c r="C307" s="6">
        <v>3566</v>
      </c>
      <c r="D307" s="2">
        <v>48</v>
      </c>
      <c r="E307" s="2" t="s">
        <v>23</v>
      </c>
      <c r="F307" s="2" t="s">
        <v>30</v>
      </c>
    </row>
    <row r="308" spans="1:6" x14ac:dyDescent="0.3">
      <c r="A308" s="2">
        <v>991</v>
      </c>
      <c r="B308" s="2">
        <v>37</v>
      </c>
      <c r="C308" s="6">
        <v>3565</v>
      </c>
      <c r="D308" s="2">
        <v>12</v>
      </c>
      <c r="E308" s="2" t="s">
        <v>28</v>
      </c>
      <c r="F308" s="2" t="s">
        <v>30</v>
      </c>
    </row>
    <row r="309" spans="1:6" x14ac:dyDescent="0.3">
      <c r="A309" s="2">
        <v>963</v>
      </c>
      <c r="B309" s="2">
        <v>29</v>
      </c>
      <c r="C309" s="6">
        <v>3556</v>
      </c>
      <c r="D309" s="2">
        <v>15</v>
      </c>
      <c r="E309" s="2" t="s">
        <v>25</v>
      </c>
      <c r="F309" s="2" t="s">
        <v>30</v>
      </c>
    </row>
    <row r="310" spans="1:6" x14ac:dyDescent="0.3">
      <c r="A310" s="2">
        <v>559</v>
      </c>
      <c r="B310" s="2">
        <v>27</v>
      </c>
      <c r="C310" s="6">
        <v>3552</v>
      </c>
      <c r="D310" s="2">
        <v>24</v>
      </c>
      <c r="E310" s="2" t="s">
        <v>26</v>
      </c>
      <c r="F310" s="2" t="s">
        <v>30</v>
      </c>
    </row>
    <row r="311" spans="1:6" x14ac:dyDescent="0.3">
      <c r="A311" s="2">
        <v>777</v>
      </c>
      <c r="B311" s="2">
        <v>37</v>
      </c>
      <c r="C311" s="6">
        <v>3535</v>
      </c>
      <c r="D311" s="2">
        <v>36</v>
      </c>
      <c r="E311" s="2" t="s">
        <v>25</v>
      </c>
      <c r="F311" s="2" t="s">
        <v>30</v>
      </c>
    </row>
    <row r="312" spans="1:6" x14ac:dyDescent="0.3">
      <c r="A312" s="2">
        <v>941</v>
      </c>
      <c r="B312" s="2">
        <v>45</v>
      </c>
      <c r="C312" s="6">
        <v>3527</v>
      </c>
      <c r="D312" s="2">
        <v>12</v>
      </c>
      <c r="E312" s="2" t="s">
        <v>25</v>
      </c>
      <c r="F312" s="2" t="s">
        <v>30</v>
      </c>
    </row>
    <row r="313" spans="1:6" x14ac:dyDescent="0.3">
      <c r="A313" s="2">
        <v>490</v>
      </c>
      <c r="B313" s="2">
        <v>26</v>
      </c>
      <c r="C313" s="6">
        <v>3518</v>
      </c>
      <c r="D313" s="2">
        <v>6</v>
      </c>
      <c r="E313" s="2" t="s">
        <v>25</v>
      </c>
      <c r="F313" s="2" t="s">
        <v>30</v>
      </c>
    </row>
    <row r="314" spans="1:6" x14ac:dyDescent="0.3">
      <c r="A314" s="2">
        <v>159</v>
      </c>
      <c r="B314" s="2">
        <v>38</v>
      </c>
      <c r="C314" s="6">
        <v>3512</v>
      </c>
      <c r="D314" s="2">
        <v>24</v>
      </c>
      <c r="E314" s="2" t="s">
        <v>25</v>
      </c>
      <c r="F314" s="2" t="s">
        <v>30</v>
      </c>
    </row>
    <row r="315" spans="1:6" x14ac:dyDescent="0.3">
      <c r="A315" s="2">
        <v>778</v>
      </c>
      <c r="B315" s="2">
        <v>25</v>
      </c>
      <c r="C315" s="6">
        <v>3509</v>
      </c>
      <c r="D315" s="2">
        <v>18</v>
      </c>
      <c r="E315" s="2" t="s">
        <v>24</v>
      </c>
      <c r="F315" s="2" t="s">
        <v>30</v>
      </c>
    </row>
    <row r="316" spans="1:6" x14ac:dyDescent="0.3">
      <c r="A316" s="2">
        <v>130</v>
      </c>
      <c r="B316" s="2">
        <v>29</v>
      </c>
      <c r="C316" s="6">
        <v>3499</v>
      </c>
      <c r="D316" s="2">
        <v>12</v>
      </c>
      <c r="E316" s="2" t="s">
        <v>25</v>
      </c>
      <c r="F316" s="2" t="s">
        <v>30</v>
      </c>
    </row>
    <row r="317" spans="1:6" x14ac:dyDescent="0.3">
      <c r="A317" s="2">
        <v>667</v>
      </c>
      <c r="B317" s="2">
        <v>34</v>
      </c>
      <c r="C317" s="6">
        <v>3496</v>
      </c>
      <c r="D317" s="2">
        <v>30</v>
      </c>
      <c r="E317" s="2" t="s">
        <v>26</v>
      </c>
      <c r="F317" s="2" t="s">
        <v>30</v>
      </c>
    </row>
    <row r="318" spans="1:6" x14ac:dyDescent="0.3">
      <c r="A318" s="2">
        <v>524</v>
      </c>
      <c r="B318" s="2">
        <v>23</v>
      </c>
      <c r="C318" s="6">
        <v>3488</v>
      </c>
      <c r="D318" s="2">
        <v>24</v>
      </c>
      <c r="E318" s="2" t="s">
        <v>27</v>
      </c>
      <c r="F318" s="2" t="s">
        <v>30</v>
      </c>
    </row>
    <row r="319" spans="1:6" x14ac:dyDescent="0.3">
      <c r="A319" s="2">
        <v>902</v>
      </c>
      <c r="B319" s="2">
        <v>44</v>
      </c>
      <c r="C319" s="6">
        <v>3485</v>
      </c>
      <c r="D319" s="2">
        <v>20</v>
      </c>
      <c r="E319" s="2" t="s">
        <v>25</v>
      </c>
      <c r="F319" s="2" t="s">
        <v>30</v>
      </c>
    </row>
    <row r="320" spans="1:6" x14ac:dyDescent="0.3">
      <c r="A320" s="2">
        <v>431</v>
      </c>
      <c r="B320" s="2">
        <v>74</v>
      </c>
      <c r="C320" s="6">
        <v>3448</v>
      </c>
      <c r="D320" s="2">
        <v>5</v>
      </c>
      <c r="E320" s="2" t="s">
        <v>23</v>
      </c>
      <c r="F320" s="2" t="s">
        <v>30</v>
      </c>
    </row>
    <row r="321" spans="1:6" x14ac:dyDescent="0.3">
      <c r="A321" s="2">
        <v>245</v>
      </c>
      <c r="B321" s="2">
        <v>35</v>
      </c>
      <c r="C321" s="6">
        <v>3447</v>
      </c>
      <c r="D321" s="2">
        <v>12</v>
      </c>
      <c r="E321" s="2" t="s">
        <v>32</v>
      </c>
      <c r="F321" s="2" t="s">
        <v>30</v>
      </c>
    </row>
    <row r="322" spans="1:6" x14ac:dyDescent="0.3">
      <c r="A322" s="2">
        <v>369</v>
      </c>
      <c r="B322" s="2">
        <v>42</v>
      </c>
      <c r="C322" s="6">
        <v>3446</v>
      </c>
      <c r="D322" s="2">
        <v>36</v>
      </c>
      <c r="E322" s="2" t="s">
        <v>26</v>
      </c>
      <c r="F322" s="2" t="s">
        <v>30</v>
      </c>
    </row>
    <row r="323" spans="1:6" x14ac:dyDescent="0.3">
      <c r="A323" s="2">
        <v>619</v>
      </c>
      <c r="B323" s="2">
        <v>21</v>
      </c>
      <c r="C323" s="6">
        <v>3441</v>
      </c>
      <c r="D323" s="2">
        <v>30</v>
      </c>
      <c r="E323" s="2" t="s">
        <v>26</v>
      </c>
      <c r="F323" s="2" t="s">
        <v>30</v>
      </c>
    </row>
    <row r="324" spans="1:6" x14ac:dyDescent="0.3">
      <c r="A324" s="2">
        <v>20</v>
      </c>
      <c r="B324" s="2">
        <v>31</v>
      </c>
      <c r="C324" s="6">
        <v>3430</v>
      </c>
      <c r="D324" s="2">
        <v>24</v>
      </c>
      <c r="E324" s="2" t="s">
        <v>24</v>
      </c>
      <c r="F324" s="2" t="s">
        <v>30</v>
      </c>
    </row>
    <row r="325" spans="1:6" x14ac:dyDescent="0.3">
      <c r="A325" s="2">
        <v>845</v>
      </c>
      <c r="B325" s="2">
        <v>47</v>
      </c>
      <c r="C325" s="6">
        <v>3422</v>
      </c>
      <c r="D325" s="2">
        <v>18</v>
      </c>
      <c r="E325" s="2" t="s">
        <v>26</v>
      </c>
      <c r="F325" s="2" t="s">
        <v>30</v>
      </c>
    </row>
    <row r="326" spans="1:6" x14ac:dyDescent="0.3">
      <c r="A326" s="2">
        <v>143</v>
      </c>
      <c r="B326" s="2">
        <v>27</v>
      </c>
      <c r="C326" s="6">
        <v>3416</v>
      </c>
      <c r="D326" s="2">
        <v>27</v>
      </c>
      <c r="E326" s="2" t="s">
        <v>24</v>
      </c>
      <c r="F326" s="2" t="s">
        <v>30</v>
      </c>
    </row>
    <row r="327" spans="1:6" x14ac:dyDescent="0.3">
      <c r="A327" s="2">
        <v>175</v>
      </c>
      <c r="B327" s="2">
        <v>26</v>
      </c>
      <c r="C327" s="6">
        <v>3414</v>
      </c>
      <c r="D327" s="2">
        <v>21</v>
      </c>
      <c r="E327" s="2" t="s">
        <v>28</v>
      </c>
      <c r="F327" s="2" t="s">
        <v>30</v>
      </c>
    </row>
    <row r="328" spans="1:6" x14ac:dyDescent="0.3">
      <c r="A328" s="2">
        <v>362</v>
      </c>
      <c r="B328" s="2">
        <v>37</v>
      </c>
      <c r="C328" s="6">
        <v>3399</v>
      </c>
      <c r="D328" s="2">
        <v>12</v>
      </c>
      <c r="E328" s="2" t="s">
        <v>24</v>
      </c>
      <c r="F328" s="2" t="s">
        <v>30</v>
      </c>
    </row>
    <row r="329" spans="1:6" x14ac:dyDescent="0.3">
      <c r="A329" s="2">
        <v>326</v>
      </c>
      <c r="B329" s="2">
        <v>39</v>
      </c>
      <c r="C329" s="6">
        <v>3398</v>
      </c>
      <c r="D329" s="2">
        <v>8</v>
      </c>
      <c r="E329" s="2" t="s">
        <v>25</v>
      </c>
      <c r="F329" s="2" t="s">
        <v>30</v>
      </c>
    </row>
    <row r="330" spans="1:6" x14ac:dyDescent="0.3">
      <c r="A330" s="2">
        <v>439</v>
      </c>
      <c r="B330" s="2">
        <v>65</v>
      </c>
      <c r="C330" s="6">
        <v>3394</v>
      </c>
      <c r="D330" s="2">
        <v>42</v>
      </c>
      <c r="E330" s="2" t="s">
        <v>29</v>
      </c>
      <c r="F330" s="2" t="s">
        <v>30</v>
      </c>
    </row>
    <row r="331" spans="1:6" x14ac:dyDescent="0.3">
      <c r="A331" s="2">
        <v>458</v>
      </c>
      <c r="B331" s="2">
        <v>35</v>
      </c>
      <c r="C331" s="6">
        <v>3386</v>
      </c>
      <c r="D331" s="2">
        <v>12</v>
      </c>
      <c r="E331" s="2" t="s">
        <v>27</v>
      </c>
      <c r="F331" s="2" t="s">
        <v>30</v>
      </c>
    </row>
    <row r="332" spans="1:6" x14ac:dyDescent="0.3">
      <c r="A332" s="2">
        <v>336</v>
      </c>
      <c r="B332" s="2">
        <v>44</v>
      </c>
      <c r="C332" s="6">
        <v>3384</v>
      </c>
      <c r="D332" s="2">
        <v>6</v>
      </c>
      <c r="E332" s="2" t="s">
        <v>26</v>
      </c>
      <c r="F332" s="2" t="s">
        <v>30</v>
      </c>
    </row>
    <row r="333" spans="1:6" x14ac:dyDescent="0.3">
      <c r="A333" s="2">
        <v>735</v>
      </c>
      <c r="B333" s="2">
        <v>37</v>
      </c>
      <c r="C333" s="6">
        <v>3380</v>
      </c>
      <c r="D333" s="2">
        <v>4</v>
      </c>
      <c r="E333" s="2" t="s">
        <v>25</v>
      </c>
      <c r="F333" s="2" t="s">
        <v>30</v>
      </c>
    </row>
    <row r="334" spans="1:6" x14ac:dyDescent="0.3">
      <c r="A334" s="2">
        <v>54</v>
      </c>
      <c r="B334" s="2">
        <v>31</v>
      </c>
      <c r="C334" s="6">
        <v>3378</v>
      </c>
      <c r="D334" s="2">
        <v>18</v>
      </c>
      <c r="E334" s="2" t="s">
        <v>27</v>
      </c>
      <c r="F334" s="2" t="s">
        <v>30</v>
      </c>
    </row>
    <row r="335" spans="1:6" x14ac:dyDescent="0.3">
      <c r="A335" s="2">
        <v>281</v>
      </c>
      <c r="B335" s="2">
        <v>23</v>
      </c>
      <c r="C335" s="6">
        <v>3368</v>
      </c>
      <c r="D335" s="2">
        <v>15</v>
      </c>
      <c r="E335" s="2" t="s">
        <v>27</v>
      </c>
      <c r="F335" s="2" t="s">
        <v>30</v>
      </c>
    </row>
    <row r="336" spans="1:6" x14ac:dyDescent="0.3">
      <c r="A336" s="2">
        <v>613</v>
      </c>
      <c r="B336" s="2">
        <v>29</v>
      </c>
      <c r="C336" s="6">
        <v>3357</v>
      </c>
      <c r="D336" s="2">
        <v>21</v>
      </c>
      <c r="E336" s="2" t="s">
        <v>24</v>
      </c>
      <c r="F336" s="2" t="s">
        <v>30</v>
      </c>
    </row>
    <row r="337" spans="1:6" x14ac:dyDescent="0.3">
      <c r="A337" s="2">
        <v>604</v>
      </c>
      <c r="B337" s="2">
        <v>28</v>
      </c>
      <c r="C337" s="6">
        <v>3349</v>
      </c>
      <c r="D337" s="2">
        <v>36</v>
      </c>
      <c r="E337" s="2" t="s">
        <v>26</v>
      </c>
      <c r="F337" s="2" t="s">
        <v>30</v>
      </c>
    </row>
    <row r="338" spans="1:6" x14ac:dyDescent="0.3">
      <c r="A338" s="2">
        <v>947</v>
      </c>
      <c r="B338" s="2">
        <v>30</v>
      </c>
      <c r="C338" s="6">
        <v>3349</v>
      </c>
      <c r="D338" s="2">
        <v>24</v>
      </c>
      <c r="E338" s="2" t="s">
        <v>26</v>
      </c>
      <c r="F338" s="2" t="s">
        <v>30</v>
      </c>
    </row>
    <row r="339" spans="1:6" x14ac:dyDescent="0.3">
      <c r="A339" s="2">
        <v>920</v>
      </c>
      <c r="B339" s="2">
        <v>39</v>
      </c>
      <c r="C339" s="6">
        <v>3345</v>
      </c>
      <c r="D339" s="2">
        <v>24</v>
      </c>
      <c r="E339" s="2" t="s">
        <v>26</v>
      </c>
      <c r="F339" s="2" t="s">
        <v>30</v>
      </c>
    </row>
    <row r="340" spans="1:6" x14ac:dyDescent="0.3">
      <c r="A340" s="2">
        <v>858</v>
      </c>
      <c r="B340" s="2">
        <v>28</v>
      </c>
      <c r="C340" s="6">
        <v>3343</v>
      </c>
      <c r="D340" s="2">
        <v>15</v>
      </c>
      <c r="E340" s="2" t="s">
        <v>26</v>
      </c>
      <c r="F340" s="2" t="s">
        <v>30</v>
      </c>
    </row>
    <row r="341" spans="1:6" x14ac:dyDescent="0.3">
      <c r="A341" s="2">
        <v>215</v>
      </c>
      <c r="B341" s="2">
        <v>51</v>
      </c>
      <c r="C341" s="6">
        <v>3342</v>
      </c>
      <c r="D341" s="2">
        <v>36</v>
      </c>
      <c r="E341" s="2" t="s">
        <v>24</v>
      </c>
      <c r="F341" s="2" t="s">
        <v>30</v>
      </c>
    </row>
    <row r="342" spans="1:6" x14ac:dyDescent="0.3">
      <c r="A342" s="2">
        <v>868</v>
      </c>
      <c r="B342" s="2">
        <v>42</v>
      </c>
      <c r="C342" s="6">
        <v>3331</v>
      </c>
      <c r="D342" s="2">
        <v>12</v>
      </c>
      <c r="E342" s="2" t="s">
        <v>26</v>
      </c>
      <c r="F342" s="2" t="s">
        <v>30</v>
      </c>
    </row>
    <row r="343" spans="1:6" x14ac:dyDescent="0.3">
      <c r="A343" s="2">
        <v>773</v>
      </c>
      <c r="B343" s="2">
        <v>36</v>
      </c>
      <c r="C343" s="6">
        <v>3275</v>
      </c>
      <c r="D343" s="2">
        <v>21</v>
      </c>
      <c r="E343" s="2" t="s">
        <v>27</v>
      </c>
      <c r="F343" s="2" t="s">
        <v>30</v>
      </c>
    </row>
    <row r="344" spans="1:6" x14ac:dyDescent="0.3">
      <c r="A344" s="2">
        <v>393</v>
      </c>
      <c r="B344" s="2">
        <v>39</v>
      </c>
      <c r="C344" s="6">
        <v>3249</v>
      </c>
      <c r="D344" s="2">
        <v>36</v>
      </c>
      <c r="E344" s="2" t="s">
        <v>25</v>
      </c>
      <c r="F344" s="2" t="s">
        <v>30</v>
      </c>
    </row>
    <row r="345" spans="1:6" x14ac:dyDescent="0.3">
      <c r="A345" s="2">
        <v>190</v>
      </c>
      <c r="B345" s="2">
        <v>33</v>
      </c>
      <c r="C345" s="6">
        <v>3244</v>
      </c>
      <c r="D345" s="2">
        <v>18</v>
      </c>
      <c r="E345" s="2" t="s">
        <v>26</v>
      </c>
      <c r="F345" s="2" t="s">
        <v>30</v>
      </c>
    </row>
    <row r="346" spans="1:6" x14ac:dyDescent="0.3">
      <c r="A346" s="2">
        <v>409</v>
      </c>
      <c r="B346" s="2">
        <v>26</v>
      </c>
      <c r="C346" s="6">
        <v>3235</v>
      </c>
      <c r="D346" s="2">
        <v>24</v>
      </c>
      <c r="E346" s="2" t="s">
        <v>24</v>
      </c>
      <c r="F346" s="2" t="s">
        <v>30</v>
      </c>
    </row>
    <row r="347" spans="1:6" x14ac:dyDescent="0.3">
      <c r="A347" s="2">
        <v>571</v>
      </c>
      <c r="B347" s="2">
        <v>23</v>
      </c>
      <c r="C347" s="6">
        <v>3234</v>
      </c>
      <c r="D347" s="2">
        <v>24</v>
      </c>
      <c r="E347" s="2" t="s">
        <v>26</v>
      </c>
      <c r="F347" s="2" t="s">
        <v>30</v>
      </c>
    </row>
    <row r="348" spans="1:6" x14ac:dyDescent="0.3">
      <c r="A348" s="2">
        <v>353</v>
      </c>
      <c r="B348" s="2">
        <v>38</v>
      </c>
      <c r="C348" s="6">
        <v>3229</v>
      </c>
      <c r="D348" s="2">
        <v>18</v>
      </c>
      <c r="E348" s="2" t="s">
        <v>27</v>
      </c>
      <c r="F348" s="2" t="s">
        <v>30</v>
      </c>
    </row>
    <row r="349" spans="1:6" x14ac:dyDescent="0.3">
      <c r="A349" s="2">
        <v>343</v>
      </c>
      <c r="B349" s="2">
        <v>25</v>
      </c>
      <c r="C349" s="6">
        <v>3213</v>
      </c>
      <c r="D349" s="2">
        <v>18</v>
      </c>
      <c r="E349" s="2" t="s">
        <v>24</v>
      </c>
      <c r="F349" s="2" t="s">
        <v>30</v>
      </c>
    </row>
    <row r="350" spans="1:6" x14ac:dyDescent="0.3">
      <c r="A350" s="2">
        <v>910</v>
      </c>
      <c r="B350" s="2">
        <v>33</v>
      </c>
      <c r="C350" s="6">
        <v>3195</v>
      </c>
      <c r="D350" s="2">
        <v>9</v>
      </c>
      <c r="E350" s="2" t="s">
        <v>25</v>
      </c>
      <c r="F350" s="2" t="s">
        <v>30</v>
      </c>
    </row>
    <row r="351" spans="1:6" x14ac:dyDescent="0.3">
      <c r="A351" s="2">
        <v>522</v>
      </c>
      <c r="B351" s="2">
        <v>24</v>
      </c>
      <c r="C351" s="6">
        <v>3190</v>
      </c>
      <c r="D351" s="2">
        <v>18</v>
      </c>
      <c r="E351" s="2" t="s">
        <v>24</v>
      </c>
      <c r="F351" s="2" t="s">
        <v>30</v>
      </c>
    </row>
    <row r="352" spans="1:6" x14ac:dyDescent="0.3">
      <c r="A352" s="2">
        <v>421</v>
      </c>
      <c r="B352" s="2">
        <v>20</v>
      </c>
      <c r="C352" s="6">
        <v>3186</v>
      </c>
      <c r="D352" s="2">
        <v>15</v>
      </c>
      <c r="E352" s="2" t="s">
        <v>25</v>
      </c>
      <c r="F352" s="2" t="s">
        <v>30</v>
      </c>
    </row>
    <row r="353" spans="1:6" x14ac:dyDescent="0.3">
      <c r="A353" s="2">
        <v>65</v>
      </c>
      <c r="B353" s="2">
        <v>26</v>
      </c>
      <c r="C353" s="6">
        <v>3181</v>
      </c>
      <c r="D353" s="2">
        <v>24</v>
      </c>
      <c r="E353" s="2" t="s">
        <v>24</v>
      </c>
      <c r="F353" s="2" t="s">
        <v>30</v>
      </c>
    </row>
    <row r="354" spans="1:6" x14ac:dyDescent="0.3">
      <c r="A354" s="2">
        <v>915</v>
      </c>
      <c r="B354" s="2">
        <v>31</v>
      </c>
      <c r="C354" s="6">
        <v>3161</v>
      </c>
      <c r="D354" s="2">
        <v>24</v>
      </c>
      <c r="E354" s="2" t="s">
        <v>23</v>
      </c>
      <c r="F354" s="2" t="s">
        <v>30</v>
      </c>
    </row>
    <row r="355" spans="1:6" x14ac:dyDescent="0.3">
      <c r="A355" s="2">
        <v>743</v>
      </c>
      <c r="B355" s="2">
        <v>41</v>
      </c>
      <c r="C355" s="6">
        <v>3160</v>
      </c>
      <c r="D355" s="2">
        <v>21</v>
      </c>
      <c r="E355" s="2" t="s">
        <v>24</v>
      </c>
      <c r="F355" s="2" t="s">
        <v>30</v>
      </c>
    </row>
    <row r="356" spans="1:6" x14ac:dyDescent="0.3">
      <c r="A356" s="2">
        <v>230</v>
      </c>
      <c r="B356" s="2">
        <v>22</v>
      </c>
      <c r="C356" s="6">
        <v>3149</v>
      </c>
      <c r="D356" s="2">
        <v>24</v>
      </c>
      <c r="E356" s="2" t="s">
        <v>26</v>
      </c>
      <c r="F356" s="2" t="s">
        <v>30</v>
      </c>
    </row>
    <row r="357" spans="1:6" x14ac:dyDescent="0.3">
      <c r="A357" s="2">
        <v>719</v>
      </c>
      <c r="B357" s="2">
        <v>31</v>
      </c>
      <c r="C357" s="6">
        <v>3148</v>
      </c>
      <c r="D357" s="2">
        <v>24</v>
      </c>
      <c r="E357" s="2" t="s">
        <v>24</v>
      </c>
      <c r="F357" s="2" t="s">
        <v>30</v>
      </c>
    </row>
    <row r="358" spans="1:6" x14ac:dyDescent="0.3">
      <c r="A358" s="2">
        <v>582</v>
      </c>
      <c r="B358" s="2">
        <v>49</v>
      </c>
      <c r="C358" s="6">
        <v>3124</v>
      </c>
      <c r="D358" s="2">
        <v>12</v>
      </c>
      <c r="E358" s="2" t="s">
        <v>25</v>
      </c>
      <c r="F358" s="2" t="s">
        <v>30</v>
      </c>
    </row>
    <row r="359" spans="1:6" x14ac:dyDescent="0.3">
      <c r="A359" s="2">
        <v>501</v>
      </c>
      <c r="B359" s="2">
        <v>27</v>
      </c>
      <c r="C359" s="6">
        <v>3123</v>
      </c>
      <c r="D359" s="2">
        <v>24</v>
      </c>
      <c r="E359" s="2" t="s">
        <v>25</v>
      </c>
      <c r="F359" s="2" t="s">
        <v>30</v>
      </c>
    </row>
    <row r="360" spans="1:6" x14ac:dyDescent="0.3">
      <c r="A360" s="2">
        <v>476</v>
      </c>
      <c r="B360" s="2">
        <v>26</v>
      </c>
      <c r="C360" s="6">
        <v>3114</v>
      </c>
      <c r="D360" s="2">
        <v>18</v>
      </c>
      <c r="E360" s="2" t="s">
        <v>26</v>
      </c>
      <c r="F360" s="2" t="s">
        <v>30</v>
      </c>
    </row>
    <row r="361" spans="1:6" x14ac:dyDescent="0.3">
      <c r="A361" s="2">
        <v>767</v>
      </c>
      <c r="B361" s="2">
        <v>31</v>
      </c>
      <c r="C361" s="6">
        <v>3108</v>
      </c>
      <c r="D361" s="2">
        <v>30</v>
      </c>
      <c r="E361" s="2" t="s">
        <v>26</v>
      </c>
      <c r="F361" s="2" t="s">
        <v>30</v>
      </c>
    </row>
    <row r="362" spans="1:6" x14ac:dyDescent="0.3">
      <c r="A362" s="2">
        <v>535</v>
      </c>
      <c r="B362" s="2">
        <v>25</v>
      </c>
      <c r="C362" s="6">
        <v>3105</v>
      </c>
      <c r="D362" s="2">
        <v>24</v>
      </c>
      <c r="E362" s="2" t="s">
        <v>24</v>
      </c>
      <c r="F362" s="2" t="s">
        <v>30</v>
      </c>
    </row>
    <row r="363" spans="1:6" x14ac:dyDescent="0.3">
      <c r="A363" s="2">
        <v>217</v>
      </c>
      <c r="B363" s="2">
        <v>31</v>
      </c>
      <c r="C363" s="6">
        <v>3104</v>
      </c>
      <c r="D363" s="2">
        <v>18</v>
      </c>
      <c r="E363" s="2" t="s">
        <v>23</v>
      </c>
      <c r="F363" s="2" t="s">
        <v>30</v>
      </c>
    </row>
    <row r="364" spans="1:6" x14ac:dyDescent="0.3">
      <c r="A364" s="2">
        <v>471</v>
      </c>
      <c r="B364" s="2">
        <v>22</v>
      </c>
      <c r="C364" s="6">
        <v>3092</v>
      </c>
      <c r="D364" s="2">
        <v>24</v>
      </c>
      <c r="E364" s="2" t="s">
        <v>24</v>
      </c>
      <c r="F364" s="2" t="s">
        <v>30</v>
      </c>
    </row>
    <row r="365" spans="1:6" x14ac:dyDescent="0.3">
      <c r="A365" s="2">
        <v>371</v>
      </c>
      <c r="B365" s="2">
        <v>36</v>
      </c>
      <c r="C365" s="6">
        <v>3079</v>
      </c>
      <c r="D365" s="2">
        <v>36</v>
      </c>
      <c r="E365" s="2" t="s">
        <v>25</v>
      </c>
      <c r="F365" s="2" t="s">
        <v>30</v>
      </c>
    </row>
    <row r="366" spans="1:6" x14ac:dyDescent="0.3">
      <c r="A366" s="2">
        <v>487</v>
      </c>
      <c r="B366" s="2">
        <v>52</v>
      </c>
      <c r="C366" s="6">
        <v>3077</v>
      </c>
      <c r="D366" s="2">
        <v>12</v>
      </c>
      <c r="E366" s="2" t="s">
        <v>24</v>
      </c>
      <c r="F366" s="2" t="s">
        <v>30</v>
      </c>
    </row>
    <row r="367" spans="1:6" x14ac:dyDescent="0.3">
      <c r="A367" s="2">
        <v>717</v>
      </c>
      <c r="B367" s="2">
        <v>40</v>
      </c>
      <c r="C367" s="6">
        <v>3077</v>
      </c>
      <c r="D367" s="2">
        <v>30</v>
      </c>
      <c r="E367" s="2" t="s">
        <v>24</v>
      </c>
      <c r="F367" s="2" t="s">
        <v>30</v>
      </c>
    </row>
    <row r="368" spans="1:6" x14ac:dyDescent="0.3">
      <c r="A368" s="2">
        <v>211</v>
      </c>
      <c r="B368" s="2">
        <v>33</v>
      </c>
      <c r="C368" s="6">
        <v>3074</v>
      </c>
      <c r="D368" s="2">
        <v>9</v>
      </c>
      <c r="E368" s="2" t="s">
        <v>24</v>
      </c>
      <c r="F368" s="2" t="s">
        <v>30</v>
      </c>
    </row>
    <row r="369" spans="1:6" x14ac:dyDescent="0.3">
      <c r="A369" s="2">
        <v>960</v>
      </c>
      <c r="B369" s="2">
        <v>30</v>
      </c>
      <c r="C369" s="6">
        <v>3069</v>
      </c>
      <c r="D369" s="2">
        <v>24</v>
      </c>
      <c r="E369" s="2" t="s">
        <v>26</v>
      </c>
      <c r="F369" s="2" t="s">
        <v>30</v>
      </c>
    </row>
    <row r="370" spans="1:6" x14ac:dyDescent="0.3">
      <c r="A370" s="2">
        <v>795</v>
      </c>
      <c r="B370" s="2">
        <v>32</v>
      </c>
      <c r="C370" s="6">
        <v>3062</v>
      </c>
      <c r="D370" s="2">
        <v>24</v>
      </c>
      <c r="E370" s="2" t="s">
        <v>26</v>
      </c>
      <c r="F370" s="2" t="s">
        <v>30</v>
      </c>
    </row>
    <row r="371" spans="1:6" x14ac:dyDescent="0.3">
      <c r="A371" s="2">
        <v>274</v>
      </c>
      <c r="B371" s="2">
        <v>28</v>
      </c>
      <c r="C371" s="6">
        <v>3060</v>
      </c>
      <c r="D371" s="2">
        <v>48</v>
      </c>
      <c r="E371" s="2" t="s">
        <v>24</v>
      </c>
      <c r="F371" s="2" t="s">
        <v>30</v>
      </c>
    </row>
    <row r="372" spans="1:6" x14ac:dyDescent="0.3">
      <c r="A372" s="2">
        <v>9</v>
      </c>
      <c r="B372" s="2">
        <v>61</v>
      </c>
      <c r="C372" s="6">
        <v>3059</v>
      </c>
      <c r="D372" s="2">
        <v>12</v>
      </c>
      <c r="E372" s="2" t="s">
        <v>24</v>
      </c>
      <c r="F372" s="2" t="s">
        <v>30</v>
      </c>
    </row>
    <row r="373" spans="1:6" x14ac:dyDescent="0.3">
      <c r="A373" s="2">
        <v>814</v>
      </c>
      <c r="B373" s="2">
        <v>54</v>
      </c>
      <c r="C373" s="6">
        <v>3051</v>
      </c>
      <c r="D373" s="2">
        <v>48</v>
      </c>
      <c r="E373" s="2" t="s">
        <v>31</v>
      </c>
      <c r="F373" s="2" t="s">
        <v>30</v>
      </c>
    </row>
    <row r="374" spans="1:6" x14ac:dyDescent="0.3">
      <c r="A374" s="2">
        <v>540</v>
      </c>
      <c r="B374" s="2">
        <v>45</v>
      </c>
      <c r="C374" s="6">
        <v>3049</v>
      </c>
      <c r="D374" s="2">
        <v>18</v>
      </c>
      <c r="E374" s="2" t="s">
        <v>26</v>
      </c>
      <c r="F374" s="2" t="s">
        <v>30</v>
      </c>
    </row>
    <row r="375" spans="1:6" x14ac:dyDescent="0.3">
      <c r="A375" s="2">
        <v>195</v>
      </c>
      <c r="B375" s="2">
        <v>21</v>
      </c>
      <c r="C375" s="6">
        <v>3031</v>
      </c>
      <c r="D375" s="2">
        <v>45</v>
      </c>
      <c r="E375" s="2" t="s">
        <v>24</v>
      </c>
      <c r="F375" s="2" t="s">
        <v>30</v>
      </c>
    </row>
    <row r="376" spans="1:6" x14ac:dyDescent="0.3">
      <c r="A376" s="2">
        <v>750</v>
      </c>
      <c r="B376" s="2">
        <v>33</v>
      </c>
      <c r="C376" s="6">
        <v>3029</v>
      </c>
      <c r="D376" s="2">
        <v>15</v>
      </c>
      <c r="E376" s="2" t="s">
        <v>27</v>
      </c>
      <c r="F376" s="2" t="s">
        <v>30</v>
      </c>
    </row>
    <row r="377" spans="1:6" x14ac:dyDescent="0.3">
      <c r="A377" s="2">
        <v>219</v>
      </c>
      <c r="B377" s="2">
        <v>24</v>
      </c>
      <c r="C377" s="6">
        <v>3021</v>
      </c>
      <c r="D377" s="2">
        <v>24</v>
      </c>
      <c r="E377" s="2" t="s">
        <v>26</v>
      </c>
      <c r="F377" s="2" t="s">
        <v>30</v>
      </c>
    </row>
    <row r="378" spans="1:6" x14ac:dyDescent="0.3">
      <c r="A378" s="2">
        <v>463</v>
      </c>
      <c r="B378" s="2">
        <v>34</v>
      </c>
      <c r="C378" s="6">
        <v>3017</v>
      </c>
      <c r="D378" s="2">
        <v>12</v>
      </c>
      <c r="E378" s="2" t="s">
        <v>26</v>
      </c>
      <c r="F378" s="2" t="s">
        <v>30</v>
      </c>
    </row>
    <row r="379" spans="1:6" x14ac:dyDescent="0.3">
      <c r="A379" s="2">
        <v>670</v>
      </c>
      <c r="B379" s="2">
        <v>47</v>
      </c>
      <c r="C379" s="6">
        <v>3017</v>
      </c>
      <c r="D379" s="2">
        <v>30</v>
      </c>
      <c r="E379" s="2" t="s">
        <v>24</v>
      </c>
      <c r="F379" s="2" t="s">
        <v>30</v>
      </c>
    </row>
    <row r="380" spans="1:6" x14ac:dyDescent="0.3">
      <c r="A380" s="2">
        <v>822</v>
      </c>
      <c r="B380" s="2">
        <v>24</v>
      </c>
      <c r="C380" s="6">
        <v>3016</v>
      </c>
      <c r="D380" s="2">
        <v>12</v>
      </c>
      <c r="E380" s="2" t="s">
        <v>24</v>
      </c>
      <c r="F380" s="2" t="s">
        <v>30</v>
      </c>
    </row>
    <row r="381" spans="1:6" x14ac:dyDescent="0.3">
      <c r="A381" s="2">
        <v>370</v>
      </c>
      <c r="B381" s="2">
        <v>40</v>
      </c>
      <c r="C381" s="6">
        <v>3001</v>
      </c>
      <c r="D381" s="2">
        <v>18</v>
      </c>
      <c r="E381" s="2" t="s">
        <v>26</v>
      </c>
      <c r="F381" s="2" t="s">
        <v>30</v>
      </c>
    </row>
    <row r="382" spans="1:6" x14ac:dyDescent="0.3">
      <c r="A382" s="2">
        <v>496</v>
      </c>
      <c r="B382" s="2">
        <v>20</v>
      </c>
      <c r="C382" s="6">
        <v>2996</v>
      </c>
      <c r="D382" s="2">
        <v>24</v>
      </c>
      <c r="E382" s="2" t="s">
        <v>26</v>
      </c>
      <c r="F382" s="2" t="s">
        <v>22</v>
      </c>
    </row>
    <row r="383" spans="1:6" x14ac:dyDescent="0.3">
      <c r="A383" s="2">
        <v>842</v>
      </c>
      <c r="B383" s="2">
        <v>28</v>
      </c>
      <c r="C383" s="6">
        <v>2993</v>
      </c>
      <c r="D383" s="2">
        <v>21</v>
      </c>
      <c r="E383" s="2" t="s">
        <v>27</v>
      </c>
      <c r="F383" s="2" t="s">
        <v>22</v>
      </c>
    </row>
    <row r="384" spans="1:6" x14ac:dyDescent="0.3">
      <c r="A384" s="2">
        <v>913</v>
      </c>
      <c r="B384" s="2">
        <v>25</v>
      </c>
      <c r="C384" s="6">
        <v>2991</v>
      </c>
      <c r="D384" s="2">
        <v>30</v>
      </c>
      <c r="E384" s="2" t="s">
        <v>24</v>
      </c>
      <c r="F384" s="2" t="s">
        <v>22</v>
      </c>
    </row>
    <row r="385" spans="1:6" x14ac:dyDescent="0.3">
      <c r="A385" s="2">
        <v>166</v>
      </c>
      <c r="B385" s="2">
        <v>32</v>
      </c>
      <c r="C385" s="6">
        <v>2978</v>
      </c>
      <c r="D385" s="2">
        <v>6</v>
      </c>
      <c r="E385" s="2" t="s">
        <v>26</v>
      </c>
      <c r="F385" s="2" t="s">
        <v>33</v>
      </c>
    </row>
    <row r="386" spans="1:6" x14ac:dyDescent="0.3">
      <c r="A386" s="2">
        <v>224</v>
      </c>
      <c r="B386" s="2">
        <v>32</v>
      </c>
      <c r="C386" s="6">
        <v>2978</v>
      </c>
      <c r="D386" s="2">
        <v>24</v>
      </c>
      <c r="E386" s="2" t="s">
        <v>23</v>
      </c>
      <c r="F386" s="2" t="s">
        <v>22</v>
      </c>
    </row>
    <row r="387" spans="1:6" x14ac:dyDescent="0.3">
      <c r="A387" s="2">
        <v>708</v>
      </c>
      <c r="B387" s="2">
        <v>25</v>
      </c>
      <c r="C387" s="6">
        <v>2969</v>
      </c>
      <c r="D387" s="2">
        <v>12</v>
      </c>
      <c r="E387" s="2" t="s">
        <v>26</v>
      </c>
      <c r="F387" s="2" t="s">
        <v>33</v>
      </c>
    </row>
    <row r="388" spans="1:6" x14ac:dyDescent="0.3">
      <c r="A388" s="2">
        <v>561</v>
      </c>
      <c r="B388" s="2">
        <v>49</v>
      </c>
      <c r="C388" s="6">
        <v>2964</v>
      </c>
      <c r="D388" s="2">
        <v>24</v>
      </c>
      <c r="E388" s="2" t="s">
        <v>27</v>
      </c>
      <c r="F388" s="2" t="s">
        <v>22</v>
      </c>
    </row>
    <row r="389" spans="1:6" x14ac:dyDescent="0.3">
      <c r="A389" s="2">
        <v>839</v>
      </c>
      <c r="B389" s="2">
        <v>63</v>
      </c>
      <c r="C389" s="6">
        <v>2957</v>
      </c>
      <c r="D389" s="2">
        <v>24</v>
      </c>
      <c r="E389" s="2" t="s">
        <v>27</v>
      </c>
      <c r="F389" s="2" t="s">
        <v>22</v>
      </c>
    </row>
    <row r="390" spans="1:6" x14ac:dyDescent="0.3">
      <c r="A390" s="2">
        <v>577</v>
      </c>
      <c r="B390" s="2">
        <v>27</v>
      </c>
      <c r="C390" s="6">
        <v>2930</v>
      </c>
      <c r="D390" s="2">
        <v>12</v>
      </c>
      <c r="E390" s="2" t="s">
        <v>24</v>
      </c>
      <c r="F390" s="2" t="s">
        <v>33</v>
      </c>
    </row>
    <row r="391" spans="1:6" x14ac:dyDescent="0.3">
      <c r="A391" s="2">
        <v>466</v>
      </c>
      <c r="B391" s="2">
        <v>63</v>
      </c>
      <c r="C391" s="6">
        <v>2924</v>
      </c>
      <c r="D391" s="2">
        <v>24</v>
      </c>
      <c r="E391" s="2" t="s">
        <v>27</v>
      </c>
      <c r="F391" s="2" t="s">
        <v>22</v>
      </c>
    </row>
    <row r="392" spans="1:6" x14ac:dyDescent="0.3">
      <c r="A392" s="2">
        <v>983</v>
      </c>
      <c r="B392" s="2">
        <v>28</v>
      </c>
      <c r="C392" s="6">
        <v>2923</v>
      </c>
      <c r="D392" s="2">
        <v>21</v>
      </c>
      <c r="E392" s="2" t="s">
        <v>25</v>
      </c>
      <c r="F392" s="2" t="s">
        <v>22</v>
      </c>
    </row>
    <row r="393" spans="1:6" x14ac:dyDescent="0.3">
      <c r="A393" s="2">
        <v>323</v>
      </c>
      <c r="B393" s="2">
        <v>34</v>
      </c>
      <c r="C393" s="6">
        <v>2910</v>
      </c>
      <c r="D393" s="2">
        <v>24</v>
      </c>
      <c r="E393" s="2" t="s">
        <v>27</v>
      </c>
      <c r="F393" s="2" t="s">
        <v>22</v>
      </c>
    </row>
    <row r="394" spans="1:6" x14ac:dyDescent="0.3">
      <c r="A394" s="2">
        <v>768</v>
      </c>
      <c r="B394" s="2">
        <v>31</v>
      </c>
      <c r="C394" s="6">
        <v>2901</v>
      </c>
      <c r="D394" s="2">
        <v>10</v>
      </c>
      <c r="E394" s="2" t="s">
        <v>27</v>
      </c>
      <c r="F394" s="2" t="s">
        <v>33</v>
      </c>
    </row>
    <row r="395" spans="1:6" x14ac:dyDescent="0.3">
      <c r="A395" s="2">
        <v>405</v>
      </c>
      <c r="B395" s="2">
        <v>43</v>
      </c>
      <c r="C395" s="6">
        <v>2899</v>
      </c>
      <c r="D395" s="2">
        <v>18</v>
      </c>
      <c r="E395" s="2" t="s">
        <v>25</v>
      </c>
      <c r="F395" s="2" t="s">
        <v>22</v>
      </c>
    </row>
    <row r="396" spans="1:6" x14ac:dyDescent="0.3">
      <c r="A396" s="2">
        <v>693</v>
      </c>
      <c r="B396" s="2">
        <v>29</v>
      </c>
      <c r="C396" s="6">
        <v>2896</v>
      </c>
      <c r="D396" s="2">
        <v>24</v>
      </c>
      <c r="E396" s="2" t="s">
        <v>24</v>
      </c>
      <c r="F396" s="2" t="s">
        <v>22</v>
      </c>
    </row>
    <row r="397" spans="1:6" x14ac:dyDescent="0.3">
      <c r="A397" s="2">
        <v>794</v>
      </c>
      <c r="B397" s="2">
        <v>51</v>
      </c>
      <c r="C397" s="6">
        <v>2892</v>
      </c>
      <c r="D397" s="2">
        <v>24</v>
      </c>
      <c r="E397" s="2" t="s">
        <v>26</v>
      </c>
      <c r="F397" s="2" t="s">
        <v>22</v>
      </c>
    </row>
    <row r="398" spans="1:6" x14ac:dyDescent="0.3">
      <c r="A398" s="2">
        <v>161</v>
      </c>
      <c r="B398" s="2">
        <v>36</v>
      </c>
      <c r="C398" s="6">
        <v>2872</v>
      </c>
      <c r="D398" s="2">
        <v>24</v>
      </c>
      <c r="E398" s="2" t="s">
        <v>24</v>
      </c>
      <c r="F398" s="2" t="s">
        <v>22</v>
      </c>
    </row>
    <row r="399" spans="1:6" x14ac:dyDescent="0.3">
      <c r="A399" s="2">
        <v>544</v>
      </c>
      <c r="B399" s="2">
        <v>34</v>
      </c>
      <c r="C399" s="6">
        <v>2864</v>
      </c>
      <c r="D399" s="2">
        <v>18</v>
      </c>
      <c r="E399" s="2" t="s">
        <v>26</v>
      </c>
      <c r="F399" s="2" t="s">
        <v>22</v>
      </c>
    </row>
    <row r="400" spans="1:6" x14ac:dyDescent="0.3">
      <c r="A400" s="2">
        <v>688</v>
      </c>
      <c r="B400" s="2">
        <v>30</v>
      </c>
      <c r="C400" s="6">
        <v>2862</v>
      </c>
      <c r="D400" s="2">
        <v>36</v>
      </c>
      <c r="E400" s="2" t="s">
        <v>25</v>
      </c>
      <c r="F400" s="2" t="s">
        <v>22</v>
      </c>
    </row>
    <row r="401" spans="1:6" x14ac:dyDescent="0.3">
      <c r="A401" s="2">
        <v>948</v>
      </c>
      <c r="B401" s="2">
        <v>38</v>
      </c>
      <c r="C401" s="6">
        <v>2859</v>
      </c>
      <c r="D401" s="2">
        <v>12</v>
      </c>
      <c r="E401" s="2" t="s">
        <v>25</v>
      </c>
      <c r="F401" s="2" t="s">
        <v>33</v>
      </c>
    </row>
    <row r="402" spans="1:6" x14ac:dyDescent="0.3">
      <c r="A402" s="2">
        <v>917</v>
      </c>
      <c r="B402" s="2">
        <v>32</v>
      </c>
      <c r="C402" s="6">
        <v>2848</v>
      </c>
      <c r="D402" s="2">
        <v>10</v>
      </c>
      <c r="E402" s="2" t="s">
        <v>27</v>
      </c>
      <c r="F402" s="2" t="s">
        <v>33</v>
      </c>
    </row>
    <row r="403" spans="1:6" x14ac:dyDescent="0.3">
      <c r="A403" s="2">
        <v>7</v>
      </c>
      <c r="B403" s="2">
        <v>53</v>
      </c>
      <c r="C403" s="6">
        <v>2835</v>
      </c>
      <c r="D403" s="2">
        <v>24</v>
      </c>
      <c r="E403" s="2" t="s">
        <v>26</v>
      </c>
      <c r="F403" s="2" t="s">
        <v>22</v>
      </c>
    </row>
    <row r="404" spans="1:6" x14ac:dyDescent="0.3">
      <c r="A404" s="2">
        <v>975</v>
      </c>
      <c r="B404" s="2">
        <v>33</v>
      </c>
      <c r="C404" s="6">
        <v>2831</v>
      </c>
      <c r="D404" s="2">
        <v>30</v>
      </c>
      <c r="E404" s="2" t="s">
        <v>24</v>
      </c>
      <c r="F404" s="2" t="s">
        <v>22</v>
      </c>
    </row>
    <row r="405" spans="1:6" x14ac:dyDescent="0.3">
      <c r="A405" s="2">
        <v>606</v>
      </c>
      <c r="B405" s="2">
        <v>22</v>
      </c>
      <c r="C405" s="6">
        <v>2828</v>
      </c>
      <c r="D405" s="2">
        <v>24</v>
      </c>
      <c r="E405" s="2" t="s">
        <v>26</v>
      </c>
      <c r="F405" s="2" t="s">
        <v>22</v>
      </c>
    </row>
    <row r="406" spans="1:6" x14ac:dyDescent="0.3">
      <c r="A406" s="2">
        <v>887</v>
      </c>
      <c r="B406" s="2">
        <v>34</v>
      </c>
      <c r="C406" s="6">
        <v>2825</v>
      </c>
      <c r="D406" s="2">
        <v>24</v>
      </c>
      <c r="E406" s="2" t="s">
        <v>23</v>
      </c>
      <c r="F406" s="2" t="s">
        <v>22</v>
      </c>
    </row>
    <row r="407" spans="1:6" x14ac:dyDescent="0.3">
      <c r="A407" s="2">
        <v>579</v>
      </c>
      <c r="B407" s="2">
        <v>27</v>
      </c>
      <c r="C407" s="6">
        <v>2820</v>
      </c>
      <c r="D407" s="2">
        <v>36</v>
      </c>
      <c r="E407" s="2" t="s">
        <v>25</v>
      </c>
      <c r="F407" s="2" t="s">
        <v>22</v>
      </c>
    </row>
    <row r="408" spans="1:6" x14ac:dyDescent="0.3">
      <c r="A408" s="2">
        <v>771</v>
      </c>
      <c r="B408" s="2">
        <v>26</v>
      </c>
      <c r="C408" s="6">
        <v>2812</v>
      </c>
      <c r="D408" s="2">
        <v>24</v>
      </c>
      <c r="E408" s="2" t="s">
        <v>27</v>
      </c>
      <c r="F408" s="2" t="s">
        <v>22</v>
      </c>
    </row>
    <row r="409" spans="1:6" x14ac:dyDescent="0.3">
      <c r="A409" s="2">
        <v>587</v>
      </c>
      <c r="B409" s="2">
        <v>36</v>
      </c>
      <c r="C409" s="6">
        <v>2799</v>
      </c>
      <c r="D409" s="2">
        <v>9</v>
      </c>
      <c r="E409" s="2" t="s">
        <v>25</v>
      </c>
      <c r="F409" s="2" t="s">
        <v>33</v>
      </c>
    </row>
    <row r="410" spans="1:6" x14ac:dyDescent="0.3">
      <c r="A410" s="2">
        <v>576</v>
      </c>
      <c r="B410" s="2">
        <v>24</v>
      </c>
      <c r="C410" s="6">
        <v>2788</v>
      </c>
      <c r="D410" s="2">
        <v>15</v>
      </c>
      <c r="E410" s="2" t="s">
        <v>26</v>
      </c>
      <c r="F410" s="2" t="s">
        <v>22</v>
      </c>
    </row>
    <row r="411" spans="1:6" x14ac:dyDescent="0.3">
      <c r="A411" s="2">
        <v>419</v>
      </c>
      <c r="B411" s="2">
        <v>31</v>
      </c>
      <c r="C411" s="6">
        <v>2782</v>
      </c>
      <c r="D411" s="2">
        <v>21</v>
      </c>
      <c r="E411" s="2" t="s">
        <v>25</v>
      </c>
      <c r="F411" s="2" t="s">
        <v>22</v>
      </c>
    </row>
    <row r="412" spans="1:6" x14ac:dyDescent="0.3">
      <c r="A412" s="2">
        <v>426</v>
      </c>
      <c r="B412" s="2">
        <v>21</v>
      </c>
      <c r="C412" s="6">
        <v>2779</v>
      </c>
      <c r="D412" s="2">
        <v>18</v>
      </c>
      <c r="E412" s="2" t="s">
        <v>27</v>
      </c>
      <c r="F412" s="2" t="s">
        <v>22</v>
      </c>
    </row>
    <row r="413" spans="1:6" x14ac:dyDescent="0.3">
      <c r="A413" s="2">
        <v>599</v>
      </c>
      <c r="B413" s="2">
        <v>31</v>
      </c>
      <c r="C413" s="6">
        <v>2775</v>
      </c>
      <c r="D413" s="2">
        <v>18</v>
      </c>
      <c r="E413" s="2" t="s">
        <v>25</v>
      </c>
      <c r="F413" s="2" t="s">
        <v>22</v>
      </c>
    </row>
    <row r="414" spans="1:6" x14ac:dyDescent="0.3">
      <c r="A414" s="2">
        <v>238</v>
      </c>
      <c r="B414" s="2">
        <v>61</v>
      </c>
      <c r="C414" s="6">
        <v>2767</v>
      </c>
      <c r="D414" s="2">
        <v>21</v>
      </c>
      <c r="E414" s="2" t="s">
        <v>23</v>
      </c>
      <c r="F414" s="2" t="s">
        <v>22</v>
      </c>
    </row>
    <row r="415" spans="1:6" x14ac:dyDescent="0.3">
      <c r="A415" s="2">
        <v>469</v>
      </c>
      <c r="B415" s="2">
        <v>26</v>
      </c>
      <c r="C415" s="6">
        <v>2764</v>
      </c>
      <c r="D415" s="2">
        <v>33</v>
      </c>
      <c r="E415" s="2" t="s">
        <v>23</v>
      </c>
      <c r="F415" s="2" t="s">
        <v>22</v>
      </c>
    </row>
    <row r="416" spans="1:6" x14ac:dyDescent="0.3">
      <c r="A416" s="2">
        <v>425</v>
      </c>
      <c r="B416" s="2">
        <v>25</v>
      </c>
      <c r="C416" s="6">
        <v>2762</v>
      </c>
      <c r="D416" s="2">
        <v>12</v>
      </c>
      <c r="E416" s="2" t="s">
        <v>26</v>
      </c>
      <c r="F416" s="2" t="s">
        <v>33</v>
      </c>
    </row>
    <row r="417" spans="1:6" x14ac:dyDescent="0.3">
      <c r="A417" s="2">
        <v>199</v>
      </c>
      <c r="B417" s="2">
        <v>36</v>
      </c>
      <c r="C417" s="6">
        <v>2760</v>
      </c>
      <c r="D417" s="2">
        <v>24</v>
      </c>
      <c r="E417" s="2" t="s">
        <v>27</v>
      </c>
      <c r="F417" s="2" t="s">
        <v>22</v>
      </c>
    </row>
    <row r="418" spans="1:6" x14ac:dyDescent="0.3">
      <c r="A418" s="2">
        <v>453</v>
      </c>
      <c r="B418" s="2">
        <v>34</v>
      </c>
      <c r="C418" s="6">
        <v>2759</v>
      </c>
      <c r="D418" s="2">
        <v>12</v>
      </c>
      <c r="E418" s="2" t="s">
        <v>26</v>
      </c>
      <c r="F418" s="2" t="s">
        <v>33</v>
      </c>
    </row>
    <row r="419" spans="1:6" x14ac:dyDescent="0.3">
      <c r="A419" s="2">
        <v>689</v>
      </c>
      <c r="B419" s="2">
        <v>35</v>
      </c>
      <c r="C419" s="6">
        <v>2753</v>
      </c>
      <c r="D419" s="2">
        <v>9</v>
      </c>
      <c r="E419" s="2" t="s">
        <v>24</v>
      </c>
      <c r="F419" s="2" t="s">
        <v>33</v>
      </c>
    </row>
    <row r="420" spans="1:6" x14ac:dyDescent="0.3">
      <c r="A420" s="2">
        <v>788</v>
      </c>
      <c r="B420" s="2">
        <v>38</v>
      </c>
      <c r="C420" s="6">
        <v>2751</v>
      </c>
      <c r="D420" s="2">
        <v>48</v>
      </c>
      <c r="E420" s="2" t="s">
        <v>27</v>
      </c>
      <c r="F420" s="2" t="s">
        <v>22</v>
      </c>
    </row>
    <row r="421" spans="1:6" x14ac:dyDescent="0.3">
      <c r="A421" s="2">
        <v>264</v>
      </c>
      <c r="B421" s="2">
        <v>57</v>
      </c>
      <c r="C421" s="6">
        <v>2748</v>
      </c>
      <c r="D421" s="2">
        <v>12</v>
      </c>
      <c r="E421" s="2" t="s">
        <v>28</v>
      </c>
      <c r="F421" s="2" t="s">
        <v>33</v>
      </c>
    </row>
    <row r="422" spans="1:6" x14ac:dyDescent="0.3">
      <c r="A422" s="2">
        <v>316</v>
      </c>
      <c r="B422" s="2">
        <v>31</v>
      </c>
      <c r="C422" s="6">
        <v>2746</v>
      </c>
      <c r="D422" s="2">
        <v>36</v>
      </c>
      <c r="E422" s="2" t="s">
        <v>26</v>
      </c>
      <c r="F422" s="2" t="s">
        <v>22</v>
      </c>
    </row>
    <row r="423" spans="1:6" x14ac:dyDescent="0.3">
      <c r="A423" s="2">
        <v>300</v>
      </c>
      <c r="B423" s="2">
        <v>32</v>
      </c>
      <c r="C423" s="6">
        <v>2745</v>
      </c>
      <c r="D423" s="2">
        <v>21</v>
      </c>
      <c r="E423" s="2" t="s">
        <v>26</v>
      </c>
      <c r="F423" s="2" t="s">
        <v>22</v>
      </c>
    </row>
    <row r="424" spans="1:6" x14ac:dyDescent="0.3">
      <c r="A424" s="2">
        <v>427</v>
      </c>
      <c r="B424" s="2">
        <v>29</v>
      </c>
      <c r="C424" s="6">
        <v>2743</v>
      </c>
      <c r="D424" s="2">
        <v>28</v>
      </c>
      <c r="E424" s="2" t="s">
        <v>24</v>
      </c>
      <c r="F424" s="2" t="s">
        <v>22</v>
      </c>
    </row>
    <row r="425" spans="1:6" x14ac:dyDescent="0.3">
      <c r="A425" s="2">
        <v>139</v>
      </c>
      <c r="B425" s="2">
        <v>35</v>
      </c>
      <c r="C425" s="6">
        <v>2728</v>
      </c>
      <c r="D425" s="2">
        <v>15</v>
      </c>
      <c r="E425" s="2" t="s">
        <v>24</v>
      </c>
      <c r="F425" s="2" t="s">
        <v>22</v>
      </c>
    </row>
    <row r="426" spans="1:6" x14ac:dyDescent="0.3">
      <c r="A426" s="2">
        <v>594</v>
      </c>
      <c r="B426" s="2">
        <v>20</v>
      </c>
      <c r="C426" s="6">
        <v>2718</v>
      </c>
      <c r="D426" s="2">
        <v>24</v>
      </c>
      <c r="E426" s="2" t="s">
        <v>25</v>
      </c>
      <c r="F426" s="2" t="s">
        <v>22</v>
      </c>
    </row>
    <row r="427" spans="1:6" x14ac:dyDescent="0.3">
      <c r="A427" s="2">
        <v>823</v>
      </c>
      <c r="B427" s="2">
        <v>41</v>
      </c>
      <c r="C427" s="6">
        <v>2712</v>
      </c>
      <c r="D427" s="2">
        <v>36</v>
      </c>
      <c r="E427" s="2" t="s">
        <v>26</v>
      </c>
      <c r="F427" s="2" t="s">
        <v>22</v>
      </c>
    </row>
    <row r="428" spans="1:6" x14ac:dyDescent="0.3">
      <c r="A428" s="2">
        <v>133</v>
      </c>
      <c r="B428" s="2">
        <v>27</v>
      </c>
      <c r="C428" s="6">
        <v>2708</v>
      </c>
      <c r="D428" s="2">
        <v>15</v>
      </c>
      <c r="E428" s="2" t="s">
        <v>26</v>
      </c>
      <c r="F428" s="2" t="s">
        <v>22</v>
      </c>
    </row>
    <row r="429" spans="1:6" x14ac:dyDescent="0.3">
      <c r="A429" s="2">
        <v>276</v>
      </c>
      <c r="B429" s="2">
        <v>32</v>
      </c>
      <c r="C429" s="6">
        <v>2697</v>
      </c>
      <c r="D429" s="2">
        <v>9</v>
      </c>
      <c r="E429" s="2" t="s">
        <v>24</v>
      </c>
      <c r="F429" s="2" t="s">
        <v>33</v>
      </c>
    </row>
    <row r="430" spans="1:6" x14ac:dyDescent="0.3">
      <c r="A430" s="2">
        <v>513</v>
      </c>
      <c r="B430" s="2">
        <v>26</v>
      </c>
      <c r="C430" s="6">
        <v>2687</v>
      </c>
      <c r="D430" s="2">
        <v>15</v>
      </c>
      <c r="E430" s="2" t="s">
        <v>23</v>
      </c>
      <c r="F430" s="2" t="s">
        <v>22</v>
      </c>
    </row>
    <row r="431" spans="1:6" x14ac:dyDescent="0.3">
      <c r="A431" s="2">
        <v>257</v>
      </c>
      <c r="B431" s="2">
        <v>35</v>
      </c>
      <c r="C431" s="6">
        <v>2684</v>
      </c>
      <c r="D431" s="2">
        <v>24</v>
      </c>
      <c r="E431" s="2" t="s">
        <v>24</v>
      </c>
      <c r="F431" s="2" t="s">
        <v>22</v>
      </c>
    </row>
    <row r="432" spans="1:6" x14ac:dyDescent="0.3">
      <c r="A432" s="2">
        <v>456</v>
      </c>
      <c r="B432" s="2">
        <v>29</v>
      </c>
      <c r="C432" s="6">
        <v>2679</v>
      </c>
      <c r="D432" s="2">
        <v>24</v>
      </c>
      <c r="E432" s="2" t="s">
        <v>27</v>
      </c>
      <c r="F432" s="2" t="s">
        <v>22</v>
      </c>
    </row>
    <row r="433" spans="1:6" x14ac:dyDescent="0.3">
      <c r="A433" s="2">
        <v>787</v>
      </c>
      <c r="B433" s="2">
        <v>40</v>
      </c>
      <c r="C433" s="6">
        <v>2675</v>
      </c>
      <c r="D433" s="2">
        <v>22</v>
      </c>
      <c r="E433" s="2" t="s">
        <v>24</v>
      </c>
      <c r="F433" s="2" t="s">
        <v>22</v>
      </c>
    </row>
    <row r="434" spans="1:6" x14ac:dyDescent="0.3">
      <c r="A434" s="2">
        <v>608</v>
      </c>
      <c r="B434" s="2">
        <v>50</v>
      </c>
      <c r="C434" s="6">
        <v>2671</v>
      </c>
      <c r="D434" s="2">
        <v>36</v>
      </c>
      <c r="E434" s="2" t="s">
        <v>24</v>
      </c>
      <c r="F434" s="2" t="s">
        <v>22</v>
      </c>
    </row>
    <row r="435" spans="1:6" x14ac:dyDescent="0.3">
      <c r="A435" s="2">
        <v>454</v>
      </c>
      <c r="B435" s="2">
        <v>35</v>
      </c>
      <c r="C435" s="6">
        <v>2670</v>
      </c>
      <c r="D435" s="2">
        <v>24</v>
      </c>
      <c r="E435" s="2" t="s">
        <v>27</v>
      </c>
      <c r="F435" s="2" t="s">
        <v>22</v>
      </c>
    </row>
    <row r="436" spans="1:6" x14ac:dyDescent="0.3">
      <c r="A436" s="2">
        <v>271</v>
      </c>
      <c r="B436" s="2">
        <v>32</v>
      </c>
      <c r="C436" s="6">
        <v>2662</v>
      </c>
      <c r="D436" s="2">
        <v>18</v>
      </c>
      <c r="E436" s="2" t="s">
        <v>25</v>
      </c>
      <c r="F436" s="2" t="s">
        <v>22</v>
      </c>
    </row>
    <row r="437" spans="1:6" x14ac:dyDescent="0.3">
      <c r="A437" s="2">
        <v>324</v>
      </c>
      <c r="B437" s="2">
        <v>28</v>
      </c>
      <c r="C437" s="6">
        <v>2659</v>
      </c>
      <c r="D437" s="2">
        <v>18</v>
      </c>
      <c r="E437" s="2" t="s">
        <v>26</v>
      </c>
      <c r="F437" s="2" t="s">
        <v>22</v>
      </c>
    </row>
    <row r="438" spans="1:6" x14ac:dyDescent="0.3">
      <c r="A438" s="2">
        <v>22</v>
      </c>
      <c r="B438" s="2">
        <v>44</v>
      </c>
      <c r="C438" s="6">
        <v>2647</v>
      </c>
      <c r="D438" s="2">
        <v>6</v>
      </c>
      <c r="E438" s="2" t="s">
        <v>24</v>
      </c>
      <c r="F438" s="2" t="s">
        <v>33</v>
      </c>
    </row>
    <row r="439" spans="1:6" x14ac:dyDescent="0.3">
      <c r="A439" s="2">
        <v>532</v>
      </c>
      <c r="B439" s="2">
        <v>28</v>
      </c>
      <c r="C439" s="6">
        <v>2631</v>
      </c>
      <c r="D439" s="2">
        <v>15</v>
      </c>
      <c r="E439" s="2" t="s">
        <v>25</v>
      </c>
      <c r="F439" s="2" t="s">
        <v>22</v>
      </c>
    </row>
    <row r="440" spans="1:6" x14ac:dyDescent="0.3">
      <c r="A440" s="2">
        <v>692</v>
      </c>
      <c r="B440" s="2">
        <v>25</v>
      </c>
      <c r="C440" s="6">
        <v>2631</v>
      </c>
      <c r="D440" s="2">
        <v>15</v>
      </c>
      <c r="E440" s="2" t="s">
        <v>29</v>
      </c>
      <c r="F440" s="2" t="s">
        <v>22</v>
      </c>
    </row>
    <row r="441" spans="1:6" x14ac:dyDescent="0.3">
      <c r="A441" s="2">
        <v>443</v>
      </c>
      <c r="B441" s="2">
        <v>29</v>
      </c>
      <c r="C441" s="6">
        <v>2629</v>
      </c>
      <c r="D441" s="2">
        <v>20</v>
      </c>
      <c r="E441" s="2" t="s">
        <v>21</v>
      </c>
      <c r="F441" s="2" t="s">
        <v>22</v>
      </c>
    </row>
    <row r="442" spans="1:6" x14ac:dyDescent="0.3">
      <c r="A442" s="2">
        <v>901</v>
      </c>
      <c r="B442" s="2">
        <v>43</v>
      </c>
      <c r="C442" s="6">
        <v>2625</v>
      </c>
      <c r="D442" s="2">
        <v>16</v>
      </c>
      <c r="E442" s="2" t="s">
        <v>25</v>
      </c>
      <c r="F442" s="2" t="s">
        <v>22</v>
      </c>
    </row>
    <row r="443" spans="1:6" x14ac:dyDescent="0.3">
      <c r="A443" s="2">
        <v>98</v>
      </c>
      <c r="B443" s="2">
        <v>34</v>
      </c>
      <c r="C443" s="6">
        <v>2622</v>
      </c>
      <c r="D443" s="2">
        <v>18</v>
      </c>
      <c r="E443" s="2" t="s">
        <v>23</v>
      </c>
      <c r="F443" s="2" t="s">
        <v>22</v>
      </c>
    </row>
    <row r="444" spans="1:6" x14ac:dyDescent="0.3">
      <c r="A444" s="2">
        <v>226</v>
      </c>
      <c r="B444" s="2">
        <v>27</v>
      </c>
      <c r="C444" s="6">
        <v>2613</v>
      </c>
      <c r="D444" s="2">
        <v>36</v>
      </c>
      <c r="E444" s="2" t="s">
        <v>29</v>
      </c>
      <c r="F444" s="2" t="s">
        <v>22</v>
      </c>
    </row>
    <row r="445" spans="1:6" x14ac:dyDescent="0.3">
      <c r="A445" s="2">
        <v>840</v>
      </c>
      <c r="B445" s="2">
        <v>46</v>
      </c>
      <c r="C445" s="6">
        <v>2611</v>
      </c>
      <c r="D445" s="2">
        <v>24</v>
      </c>
      <c r="E445" s="2" t="s">
        <v>24</v>
      </c>
      <c r="F445" s="2" t="s">
        <v>22</v>
      </c>
    </row>
    <row r="446" spans="1:6" x14ac:dyDescent="0.3">
      <c r="A446" s="2">
        <v>897</v>
      </c>
      <c r="B446" s="2">
        <v>28</v>
      </c>
      <c r="C446" s="6">
        <v>2606</v>
      </c>
      <c r="D446" s="2">
        <v>21</v>
      </c>
      <c r="E446" s="2" t="s">
        <v>24</v>
      </c>
      <c r="F446" s="2" t="s">
        <v>22</v>
      </c>
    </row>
    <row r="447" spans="1:6" x14ac:dyDescent="0.3">
      <c r="A447" s="2">
        <v>734</v>
      </c>
      <c r="B447" s="2">
        <v>28</v>
      </c>
      <c r="C447" s="6">
        <v>2603</v>
      </c>
      <c r="D447" s="2">
        <v>24</v>
      </c>
      <c r="E447" s="2" t="s">
        <v>27</v>
      </c>
      <c r="F447" s="2" t="s">
        <v>22</v>
      </c>
    </row>
    <row r="448" spans="1:6" x14ac:dyDescent="0.3">
      <c r="A448" s="2">
        <v>625</v>
      </c>
      <c r="B448" s="2">
        <v>65</v>
      </c>
      <c r="C448" s="6">
        <v>2600</v>
      </c>
      <c r="D448" s="2">
        <v>18</v>
      </c>
      <c r="E448" s="2" t="s">
        <v>24</v>
      </c>
      <c r="F448" s="2" t="s">
        <v>22</v>
      </c>
    </row>
    <row r="449" spans="1:6" x14ac:dyDescent="0.3">
      <c r="A449" s="2">
        <v>675</v>
      </c>
      <c r="B449" s="2">
        <v>41</v>
      </c>
      <c r="C449" s="6">
        <v>2580</v>
      </c>
      <c r="D449" s="2">
        <v>21</v>
      </c>
      <c r="E449" s="2" t="s">
        <v>23</v>
      </c>
      <c r="F449" s="2" t="s">
        <v>22</v>
      </c>
    </row>
    <row r="450" spans="1:6" x14ac:dyDescent="0.3">
      <c r="A450" s="2">
        <v>417</v>
      </c>
      <c r="B450" s="2">
        <v>33</v>
      </c>
      <c r="C450" s="6">
        <v>2579</v>
      </c>
      <c r="D450" s="2">
        <v>12</v>
      </c>
      <c r="E450" s="2" t="s">
        <v>25</v>
      </c>
      <c r="F450" s="2" t="s">
        <v>33</v>
      </c>
    </row>
    <row r="451" spans="1:6" x14ac:dyDescent="0.3">
      <c r="A451" s="2">
        <v>397</v>
      </c>
      <c r="B451" s="2">
        <v>55</v>
      </c>
      <c r="C451" s="6">
        <v>2578</v>
      </c>
      <c r="D451" s="2">
        <v>12</v>
      </c>
      <c r="E451" s="2" t="s">
        <v>26</v>
      </c>
      <c r="F451" s="2" t="s">
        <v>33</v>
      </c>
    </row>
    <row r="452" spans="1:6" x14ac:dyDescent="0.3">
      <c r="A452" s="2">
        <v>568</v>
      </c>
      <c r="B452" s="2">
        <v>34</v>
      </c>
      <c r="C452" s="6">
        <v>2578</v>
      </c>
      <c r="D452" s="2">
        <v>24</v>
      </c>
      <c r="E452" s="2" t="s">
        <v>24</v>
      </c>
      <c r="F452" s="2" t="s">
        <v>22</v>
      </c>
    </row>
    <row r="453" spans="1:6" x14ac:dyDescent="0.3">
      <c r="A453" s="2">
        <v>177</v>
      </c>
      <c r="B453" s="2">
        <v>42</v>
      </c>
      <c r="C453" s="6">
        <v>2577</v>
      </c>
      <c r="D453" s="2">
        <v>12</v>
      </c>
      <c r="E453" s="2" t="s">
        <v>26</v>
      </c>
      <c r="F453" s="2" t="s">
        <v>33</v>
      </c>
    </row>
    <row r="454" spans="1:6" x14ac:dyDescent="0.3">
      <c r="A454" s="2">
        <v>448</v>
      </c>
      <c r="B454" s="2">
        <v>35</v>
      </c>
      <c r="C454" s="6">
        <v>2576</v>
      </c>
      <c r="D454" s="2">
        <v>7</v>
      </c>
      <c r="E454" s="2" t="s">
        <v>24</v>
      </c>
      <c r="F454" s="2" t="s">
        <v>33</v>
      </c>
    </row>
    <row r="455" spans="1:6" x14ac:dyDescent="0.3">
      <c r="A455" s="2">
        <v>725</v>
      </c>
      <c r="B455" s="2">
        <v>21</v>
      </c>
      <c r="C455" s="6">
        <v>2570</v>
      </c>
      <c r="D455" s="2">
        <v>27</v>
      </c>
      <c r="E455" s="2" t="s">
        <v>25</v>
      </c>
      <c r="F455" s="2" t="s">
        <v>22</v>
      </c>
    </row>
    <row r="456" spans="1:6" x14ac:dyDescent="0.3">
      <c r="A456" s="2">
        <v>477</v>
      </c>
      <c r="B456" s="2">
        <v>24</v>
      </c>
      <c r="C456" s="6">
        <v>2569</v>
      </c>
      <c r="D456" s="2">
        <v>39</v>
      </c>
      <c r="E456" s="2" t="s">
        <v>27</v>
      </c>
      <c r="F456" s="2" t="s">
        <v>22</v>
      </c>
    </row>
    <row r="457" spans="1:6" x14ac:dyDescent="0.3">
      <c r="A457" s="2">
        <v>979</v>
      </c>
      <c r="B457" s="2">
        <v>47</v>
      </c>
      <c r="C457" s="6">
        <v>2538</v>
      </c>
      <c r="D457" s="2">
        <v>24</v>
      </c>
      <c r="E457" s="2" t="s">
        <v>25</v>
      </c>
      <c r="F457" s="2" t="s">
        <v>22</v>
      </c>
    </row>
    <row r="458" spans="1:6" x14ac:dyDescent="0.3">
      <c r="A458" s="2">
        <v>705</v>
      </c>
      <c r="B458" s="2">
        <v>32</v>
      </c>
      <c r="C458" s="6">
        <v>2528</v>
      </c>
      <c r="D458" s="2">
        <v>27</v>
      </c>
      <c r="E458" s="2" t="s">
        <v>23</v>
      </c>
      <c r="F458" s="2" t="s">
        <v>22</v>
      </c>
    </row>
    <row r="459" spans="1:6" x14ac:dyDescent="0.3">
      <c r="A459" s="2">
        <v>240</v>
      </c>
      <c r="B459" s="2">
        <v>39</v>
      </c>
      <c r="C459" s="6">
        <v>2522</v>
      </c>
      <c r="D459" s="2">
        <v>30</v>
      </c>
      <c r="E459" s="2" t="s">
        <v>24</v>
      </c>
      <c r="F459" s="2" t="s">
        <v>22</v>
      </c>
    </row>
    <row r="460" spans="1:6" x14ac:dyDescent="0.3">
      <c r="A460" s="2">
        <v>967</v>
      </c>
      <c r="B460" s="2">
        <v>23</v>
      </c>
      <c r="C460" s="6">
        <v>2520</v>
      </c>
      <c r="D460" s="2">
        <v>27</v>
      </c>
      <c r="E460" s="2" t="s">
        <v>24</v>
      </c>
      <c r="F460" s="2" t="s">
        <v>22</v>
      </c>
    </row>
    <row r="461" spans="1:6" x14ac:dyDescent="0.3">
      <c r="A461" s="2">
        <v>299</v>
      </c>
      <c r="B461" s="2">
        <v>43</v>
      </c>
      <c r="C461" s="6">
        <v>2515</v>
      </c>
      <c r="D461" s="2">
        <v>18</v>
      </c>
      <c r="E461" s="2" t="s">
        <v>26</v>
      </c>
      <c r="F461" s="2" t="s">
        <v>22</v>
      </c>
    </row>
    <row r="462" spans="1:6" x14ac:dyDescent="0.3">
      <c r="A462" s="2">
        <v>747</v>
      </c>
      <c r="B462" s="2">
        <v>23</v>
      </c>
      <c r="C462" s="6">
        <v>2511</v>
      </c>
      <c r="D462" s="2">
        <v>15</v>
      </c>
      <c r="E462" s="2" t="s">
        <v>25</v>
      </c>
      <c r="F462" s="2" t="s">
        <v>22</v>
      </c>
    </row>
    <row r="463" spans="1:6" x14ac:dyDescent="0.3">
      <c r="A463" s="2">
        <v>232</v>
      </c>
      <c r="B463" s="2">
        <v>51</v>
      </c>
      <c r="C463" s="6">
        <v>2507</v>
      </c>
      <c r="D463" s="2">
        <v>9</v>
      </c>
      <c r="E463" s="2" t="s">
        <v>25</v>
      </c>
      <c r="F463" s="2" t="s">
        <v>33</v>
      </c>
    </row>
    <row r="464" spans="1:6" x14ac:dyDescent="0.3">
      <c r="A464" s="2">
        <v>704</v>
      </c>
      <c r="B464" s="2">
        <v>41</v>
      </c>
      <c r="C464" s="6">
        <v>2503</v>
      </c>
      <c r="D464" s="2">
        <v>30</v>
      </c>
      <c r="E464" s="2" t="s">
        <v>23</v>
      </c>
      <c r="F464" s="2" t="s">
        <v>22</v>
      </c>
    </row>
    <row r="465" spans="1:6" x14ac:dyDescent="0.3">
      <c r="A465" s="2">
        <v>744</v>
      </c>
      <c r="B465" s="2">
        <v>22</v>
      </c>
      <c r="C465" s="6">
        <v>2483</v>
      </c>
      <c r="D465" s="2">
        <v>24</v>
      </c>
      <c r="E465" s="2" t="s">
        <v>26</v>
      </c>
      <c r="F465" s="2" t="s">
        <v>22</v>
      </c>
    </row>
    <row r="466" spans="1:6" x14ac:dyDescent="0.3">
      <c r="A466" s="2">
        <v>713</v>
      </c>
      <c r="B466" s="2">
        <v>46</v>
      </c>
      <c r="C466" s="6">
        <v>2476</v>
      </c>
      <c r="D466" s="2">
        <v>21</v>
      </c>
      <c r="E466" s="2" t="s">
        <v>27</v>
      </c>
      <c r="F466" s="2" t="s">
        <v>22</v>
      </c>
    </row>
    <row r="467" spans="1:6" x14ac:dyDescent="0.3">
      <c r="A467" s="2">
        <v>365</v>
      </c>
      <c r="B467" s="2">
        <v>25</v>
      </c>
      <c r="C467" s="6">
        <v>2473</v>
      </c>
      <c r="D467" s="2">
        <v>18</v>
      </c>
      <c r="E467" s="2" t="s">
        <v>26</v>
      </c>
      <c r="F467" s="2" t="s">
        <v>22</v>
      </c>
    </row>
    <row r="468" spans="1:6" x14ac:dyDescent="0.3">
      <c r="A468" s="2">
        <v>765</v>
      </c>
      <c r="B468" s="2">
        <v>27</v>
      </c>
      <c r="C468" s="6">
        <v>2463</v>
      </c>
      <c r="D468" s="2">
        <v>24</v>
      </c>
      <c r="E468" s="2" t="s">
        <v>25</v>
      </c>
      <c r="F468" s="2" t="s">
        <v>22</v>
      </c>
    </row>
    <row r="469" spans="1:6" x14ac:dyDescent="0.3">
      <c r="A469" s="2">
        <v>144</v>
      </c>
      <c r="B469" s="2">
        <v>22</v>
      </c>
      <c r="C469" s="6">
        <v>2462</v>
      </c>
      <c r="D469" s="2">
        <v>18</v>
      </c>
      <c r="E469" s="2" t="s">
        <v>26</v>
      </c>
      <c r="F469" s="2" t="s">
        <v>22</v>
      </c>
    </row>
    <row r="470" spans="1:6" x14ac:dyDescent="0.3">
      <c r="A470" s="2">
        <v>105</v>
      </c>
      <c r="B470" s="2">
        <v>26</v>
      </c>
      <c r="C470" s="6">
        <v>2445</v>
      </c>
      <c r="D470" s="2">
        <v>12</v>
      </c>
      <c r="E470" s="2" t="s">
        <v>27</v>
      </c>
      <c r="F470" s="2" t="s">
        <v>33</v>
      </c>
    </row>
    <row r="471" spans="1:6" x14ac:dyDescent="0.3">
      <c r="A471" s="2">
        <v>891</v>
      </c>
      <c r="B471" s="2">
        <v>43</v>
      </c>
      <c r="C471" s="6">
        <v>2442</v>
      </c>
      <c r="D471" s="2">
        <v>27</v>
      </c>
      <c r="E471" s="2" t="s">
        <v>23</v>
      </c>
      <c r="F471" s="2" t="s">
        <v>22</v>
      </c>
    </row>
    <row r="472" spans="1:6" x14ac:dyDescent="0.3">
      <c r="A472" s="2">
        <v>863</v>
      </c>
      <c r="B472" s="2">
        <v>35</v>
      </c>
      <c r="C472" s="6">
        <v>2439</v>
      </c>
      <c r="D472" s="2">
        <v>24</v>
      </c>
      <c r="E472" s="2" t="s">
        <v>24</v>
      </c>
      <c r="F472" s="2" t="s">
        <v>22</v>
      </c>
    </row>
    <row r="473" spans="1:6" x14ac:dyDescent="0.3">
      <c r="A473" s="2">
        <v>978</v>
      </c>
      <c r="B473" s="2">
        <v>42</v>
      </c>
      <c r="C473" s="6">
        <v>2427</v>
      </c>
      <c r="D473" s="2">
        <v>18</v>
      </c>
      <c r="E473" s="2" t="s">
        <v>23</v>
      </c>
      <c r="F473" s="2" t="s">
        <v>22</v>
      </c>
    </row>
    <row r="474" spans="1:6" x14ac:dyDescent="0.3">
      <c r="A474" s="2">
        <v>17</v>
      </c>
      <c r="B474" s="2">
        <v>53</v>
      </c>
      <c r="C474" s="6">
        <v>2424</v>
      </c>
      <c r="D474" s="2">
        <v>24</v>
      </c>
      <c r="E474" s="2" t="s">
        <v>24</v>
      </c>
      <c r="F474" s="2" t="s">
        <v>22</v>
      </c>
    </row>
    <row r="475" spans="1:6" x14ac:dyDescent="0.3">
      <c r="A475" s="2">
        <v>29</v>
      </c>
      <c r="B475" s="2">
        <v>34</v>
      </c>
      <c r="C475" s="6">
        <v>2415</v>
      </c>
      <c r="D475" s="2">
        <v>7</v>
      </c>
      <c r="E475" s="2" t="s">
        <v>24</v>
      </c>
      <c r="F475" s="2" t="s">
        <v>33</v>
      </c>
    </row>
    <row r="476" spans="1:6" x14ac:dyDescent="0.3">
      <c r="A476" s="2">
        <v>360</v>
      </c>
      <c r="B476" s="2">
        <v>23</v>
      </c>
      <c r="C476" s="6">
        <v>2406</v>
      </c>
      <c r="D476" s="2">
        <v>30</v>
      </c>
      <c r="E476" s="2" t="s">
        <v>26</v>
      </c>
      <c r="F476" s="2" t="s">
        <v>22</v>
      </c>
    </row>
    <row r="477" spans="1:6" x14ac:dyDescent="0.3">
      <c r="A477" s="2">
        <v>395</v>
      </c>
      <c r="B477" s="2">
        <v>31</v>
      </c>
      <c r="C477" s="6">
        <v>2406</v>
      </c>
      <c r="D477" s="2">
        <v>9</v>
      </c>
      <c r="E477" s="2" t="s">
        <v>26</v>
      </c>
      <c r="F477" s="2" t="s">
        <v>33</v>
      </c>
    </row>
    <row r="478" spans="1:6" x14ac:dyDescent="0.3">
      <c r="A478" s="2">
        <v>277</v>
      </c>
      <c r="B478" s="2">
        <v>26</v>
      </c>
      <c r="C478" s="6">
        <v>2404</v>
      </c>
      <c r="D478" s="2">
        <v>18</v>
      </c>
      <c r="E478" s="2" t="s">
        <v>24</v>
      </c>
      <c r="F478" s="2" t="s">
        <v>22</v>
      </c>
    </row>
    <row r="479" spans="1:6" x14ac:dyDescent="0.3">
      <c r="A479" s="2">
        <v>964</v>
      </c>
      <c r="B479" s="2">
        <v>35</v>
      </c>
      <c r="C479" s="6">
        <v>2397</v>
      </c>
      <c r="D479" s="2">
        <v>24</v>
      </c>
      <c r="E479" s="2" t="s">
        <v>24</v>
      </c>
      <c r="F479" s="2" t="s">
        <v>22</v>
      </c>
    </row>
    <row r="480" spans="1:6" x14ac:dyDescent="0.3">
      <c r="A480" s="2">
        <v>70</v>
      </c>
      <c r="B480" s="2">
        <v>25</v>
      </c>
      <c r="C480" s="6">
        <v>2394</v>
      </c>
      <c r="D480" s="2">
        <v>36</v>
      </c>
      <c r="E480" s="2" t="s">
        <v>24</v>
      </c>
      <c r="F480" s="2" t="s">
        <v>22</v>
      </c>
    </row>
    <row r="481" spans="1:6" x14ac:dyDescent="0.3">
      <c r="A481" s="2">
        <v>995</v>
      </c>
      <c r="B481" s="2">
        <v>50</v>
      </c>
      <c r="C481" s="6">
        <v>2390</v>
      </c>
      <c r="D481" s="2">
        <v>12</v>
      </c>
      <c r="E481" s="2" t="s">
        <v>25</v>
      </c>
      <c r="F481" s="2" t="s">
        <v>33</v>
      </c>
    </row>
    <row r="482" spans="1:6" x14ac:dyDescent="0.3">
      <c r="A482" s="2">
        <v>867</v>
      </c>
      <c r="B482" s="2">
        <v>27</v>
      </c>
      <c r="C482" s="6">
        <v>2389</v>
      </c>
      <c r="D482" s="2">
        <v>18</v>
      </c>
      <c r="E482" s="2" t="s">
        <v>24</v>
      </c>
      <c r="F482" s="2" t="s">
        <v>22</v>
      </c>
    </row>
    <row r="483" spans="1:6" x14ac:dyDescent="0.3">
      <c r="A483" s="2">
        <v>584</v>
      </c>
      <c r="B483" s="2">
        <v>33</v>
      </c>
      <c r="C483" s="6">
        <v>2384</v>
      </c>
      <c r="D483" s="2">
        <v>36</v>
      </c>
      <c r="E483" s="2" t="s">
        <v>29</v>
      </c>
      <c r="F483" s="2" t="s">
        <v>22</v>
      </c>
    </row>
    <row r="484" spans="1:6" x14ac:dyDescent="0.3">
      <c r="A484" s="2">
        <v>679</v>
      </c>
      <c r="B484" s="2">
        <v>64</v>
      </c>
      <c r="C484" s="6">
        <v>2384</v>
      </c>
      <c r="D484" s="2">
        <v>24</v>
      </c>
      <c r="E484" s="2" t="s">
        <v>24</v>
      </c>
      <c r="F484" s="2" t="s">
        <v>22</v>
      </c>
    </row>
    <row r="485" spans="1:6" x14ac:dyDescent="0.3">
      <c r="A485" s="2">
        <v>831</v>
      </c>
      <c r="B485" s="2">
        <v>44</v>
      </c>
      <c r="C485" s="6">
        <v>2375</v>
      </c>
      <c r="D485" s="2">
        <v>24</v>
      </c>
      <c r="E485" s="2" t="s">
        <v>23</v>
      </c>
      <c r="F485" s="2" t="s">
        <v>22</v>
      </c>
    </row>
    <row r="486" spans="1:6" x14ac:dyDescent="0.3">
      <c r="A486" s="2">
        <v>120</v>
      </c>
      <c r="B486" s="2">
        <v>36</v>
      </c>
      <c r="C486" s="6">
        <v>2366</v>
      </c>
      <c r="D486" s="2">
        <v>12</v>
      </c>
      <c r="E486" s="2" t="s">
        <v>25</v>
      </c>
      <c r="F486" s="2" t="s">
        <v>33</v>
      </c>
    </row>
    <row r="487" spans="1:6" x14ac:dyDescent="0.3">
      <c r="A487" s="2">
        <v>507</v>
      </c>
      <c r="B487" s="2">
        <v>36</v>
      </c>
      <c r="C487" s="6">
        <v>2360</v>
      </c>
      <c r="D487" s="2">
        <v>15</v>
      </c>
      <c r="E487" s="2" t="s">
        <v>27</v>
      </c>
      <c r="F487" s="2" t="s">
        <v>22</v>
      </c>
    </row>
    <row r="488" spans="1:6" x14ac:dyDescent="0.3">
      <c r="A488" s="2">
        <v>919</v>
      </c>
      <c r="B488" s="2">
        <v>33</v>
      </c>
      <c r="C488" s="6">
        <v>2359</v>
      </c>
      <c r="D488" s="2">
        <v>24</v>
      </c>
      <c r="E488" s="2" t="s">
        <v>26</v>
      </c>
      <c r="F488" s="2" t="s">
        <v>22</v>
      </c>
    </row>
    <row r="489" spans="1:6" x14ac:dyDescent="0.3">
      <c r="A489" s="2">
        <v>962</v>
      </c>
      <c r="B489" s="2">
        <v>47</v>
      </c>
      <c r="C489" s="6">
        <v>2353</v>
      </c>
      <c r="D489" s="2">
        <v>21</v>
      </c>
      <c r="E489" s="2" t="s">
        <v>25</v>
      </c>
      <c r="F489" s="2" t="s">
        <v>22</v>
      </c>
    </row>
    <row r="490" spans="1:6" x14ac:dyDescent="0.3">
      <c r="A490" s="2">
        <v>398</v>
      </c>
      <c r="B490" s="2">
        <v>46</v>
      </c>
      <c r="C490" s="6">
        <v>2348</v>
      </c>
      <c r="D490" s="2">
        <v>36</v>
      </c>
      <c r="E490" s="2" t="s">
        <v>26</v>
      </c>
      <c r="F490" s="2" t="s">
        <v>22</v>
      </c>
    </row>
    <row r="491" spans="1:6" x14ac:dyDescent="0.3">
      <c r="A491" s="2">
        <v>655</v>
      </c>
      <c r="B491" s="2">
        <v>35</v>
      </c>
      <c r="C491" s="6">
        <v>2346</v>
      </c>
      <c r="D491" s="2">
        <v>24</v>
      </c>
      <c r="E491" s="2" t="s">
        <v>27</v>
      </c>
      <c r="F491" s="2" t="s">
        <v>22</v>
      </c>
    </row>
    <row r="492" spans="1:6" x14ac:dyDescent="0.3">
      <c r="A492" s="2">
        <v>99</v>
      </c>
      <c r="B492" s="2">
        <v>36</v>
      </c>
      <c r="C492" s="6">
        <v>2337</v>
      </c>
      <c r="D492" s="2">
        <v>36</v>
      </c>
      <c r="E492" s="2" t="s">
        <v>24</v>
      </c>
      <c r="F492" s="2" t="s">
        <v>22</v>
      </c>
    </row>
    <row r="493" spans="1:6" x14ac:dyDescent="0.3">
      <c r="A493" s="2">
        <v>41</v>
      </c>
      <c r="B493" s="2">
        <v>30</v>
      </c>
      <c r="C493" s="6">
        <v>2333</v>
      </c>
      <c r="D493" s="2">
        <v>30</v>
      </c>
      <c r="E493" s="2" t="s">
        <v>24</v>
      </c>
      <c r="F493" s="2" t="s">
        <v>22</v>
      </c>
    </row>
    <row r="494" spans="1:6" x14ac:dyDescent="0.3">
      <c r="A494" s="2">
        <v>51</v>
      </c>
      <c r="B494" s="2">
        <v>29</v>
      </c>
      <c r="C494" s="6">
        <v>2333</v>
      </c>
      <c r="D494" s="2">
        <v>24</v>
      </c>
      <c r="E494" s="2" t="s">
        <v>26</v>
      </c>
      <c r="F494" s="2" t="s">
        <v>22</v>
      </c>
    </row>
    <row r="495" spans="1:6" x14ac:dyDescent="0.3">
      <c r="A495" s="2">
        <v>357</v>
      </c>
      <c r="B495" s="2">
        <v>49</v>
      </c>
      <c r="C495" s="6">
        <v>2331</v>
      </c>
      <c r="D495" s="2">
        <v>12</v>
      </c>
      <c r="E495" s="2" t="s">
        <v>24</v>
      </c>
      <c r="F495" s="2" t="s">
        <v>33</v>
      </c>
    </row>
    <row r="496" spans="1:6" x14ac:dyDescent="0.3">
      <c r="A496" s="2">
        <v>601</v>
      </c>
      <c r="B496" s="2">
        <v>45</v>
      </c>
      <c r="C496" s="6">
        <v>2329</v>
      </c>
      <c r="D496" s="2">
        <v>7</v>
      </c>
      <c r="E496" s="2" t="s">
        <v>24</v>
      </c>
      <c r="F496" s="2" t="s">
        <v>33</v>
      </c>
    </row>
    <row r="497" spans="1:6" x14ac:dyDescent="0.3">
      <c r="A497" s="2">
        <v>835</v>
      </c>
      <c r="B497" s="2">
        <v>25</v>
      </c>
      <c r="C497" s="6">
        <v>2327</v>
      </c>
      <c r="D497" s="2">
        <v>15</v>
      </c>
      <c r="E497" s="2" t="s">
        <v>24</v>
      </c>
      <c r="F497" s="2" t="s">
        <v>22</v>
      </c>
    </row>
    <row r="498" spans="1:6" x14ac:dyDescent="0.3">
      <c r="A498" s="2">
        <v>389</v>
      </c>
      <c r="B498" s="2">
        <v>27</v>
      </c>
      <c r="C498" s="6">
        <v>2326</v>
      </c>
      <c r="D498" s="2">
        <v>15</v>
      </c>
      <c r="E498" s="2" t="s">
        <v>23</v>
      </c>
      <c r="F498" s="2" t="s">
        <v>22</v>
      </c>
    </row>
    <row r="499" spans="1:6" x14ac:dyDescent="0.3">
      <c r="A499" s="2">
        <v>741</v>
      </c>
      <c r="B499" s="2">
        <v>32</v>
      </c>
      <c r="C499" s="6">
        <v>2325</v>
      </c>
      <c r="D499" s="2">
        <v>24</v>
      </c>
      <c r="E499" s="2" t="s">
        <v>25</v>
      </c>
      <c r="F499" s="2" t="s">
        <v>22</v>
      </c>
    </row>
    <row r="500" spans="1:6" x14ac:dyDescent="0.3">
      <c r="A500" s="2">
        <v>102</v>
      </c>
      <c r="B500" s="2">
        <v>24</v>
      </c>
      <c r="C500" s="6">
        <v>2323</v>
      </c>
      <c r="D500" s="2">
        <v>36</v>
      </c>
      <c r="E500" s="2" t="s">
        <v>24</v>
      </c>
      <c r="F500" s="2" t="s">
        <v>22</v>
      </c>
    </row>
    <row r="501" spans="1:6" x14ac:dyDescent="0.3">
      <c r="A501" s="2">
        <v>377</v>
      </c>
      <c r="B501" s="2">
        <v>34</v>
      </c>
      <c r="C501" s="6">
        <v>2320</v>
      </c>
      <c r="D501" s="2">
        <v>18</v>
      </c>
      <c r="E501" s="2" t="s">
        <v>24</v>
      </c>
      <c r="F501" s="2" t="s">
        <v>22</v>
      </c>
    </row>
    <row r="502" spans="1:6" x14ac:dyDescent="0.3">
      <c r="A502" s="2">
        <v>536</v>
      </c>
      <c r="B502" s="2">
        <v>33</v>
      </c>
      <c r="C502" s="6">
        <v>2319</v>
      </c>
      <c r="D502" s="2">
        <v>21</v>
      </c>
      <c r="E502" s="2" t="s">
        <v>28</v>
      </c>
      <c r="F502" s="2" t="s">
        <v>22</v>
      </c>
    </row>
    <row r="503" spans="1:6" x14ac:dyDescent="0.3">
      <c r="A503" s="2">
        <v>85</v>
      </c>
      <c r="B503" s="2">
        <v>52</v>
      </c>
      <c r="C503" s="6">
        <v>2315</v>
      </c>
      <c r="D503" s="2">
        <v>10</v>
      </c>
      <c r="E503" s="2" t="s">
        <v>24</v>
      </c>
      <c r="F503" s="2" t="s">
        <v>33</v>
      </c>
    </row>
    <row r="504" spans="1:6" x14ac:dyDescent="0.3">
      <c r="A504" s="2">
        <v>653</v>
      </c>
      <c r="B504" s="2">
        <v>45</v>
      </c>
      <c r="C504" s="6">
        <v>2303</v>
      </c>
      <c r="D504" s="2">
        <v>24</v>
      </c>
      <c r="E504" s="2" t="s">
        <v>25</v>
      </c>
      <c r="F504" s="2" t="s">
        <v>22</v>
      </c>
    </row>
    <row r="505" spans="1:6" x14ac:dyDescent="0.3">
      <c r="A505" s="2">
        <v>529</v>
      </c>
      <c r="B505" s="2">
        <v>31</v>
      </c>
      <c r="C505" s="6">
        <v>2302</v>
      </c>
      <c r="D505" s="2">
        <v>36</v>
      </c>
      <c r="E505" s="2" t="s">
        <v>24</v>
      </c>
      <c r="F505" s="2" t="s">
        <v>22</v>
      </c>
    </row>
    <row r="506" spans="1:6" x14ac:dyDescent="0.3">
      <c r="A506" s="2">
        <v>796</v>
      </c>
      <c r="B506" s="2">
        <v>22</v>
      </c>
      <c r="C506" s="6">
        <v>2301</v>
      </c>
      <c r="D506" s="2">
        <v>9</v>
      </c>
      <c r="E506" s="2" t="s">
        <v>26</v>
      </c>
      <c r="F506" s="2" t="s">
        <v>33</v>
      </c>
    </row>
    <row r="507" spans="1:6" x14ac:dyDescent="0.3">
      <c r="A507" s="2">
        <v>47</v>
      </c>
      <c r="B507" s="2">
        <v>39</v>
      </c>
      <c r="C507" s="6">
        <v>2299</v>
      </c>
      <c r="D507" s="2">
        <v>36</v>
      </c>
      <c r="E507" s="2" t="s">
        <v>24</v>
      </c>
      <c r="F507" s="2" t="s">
        <v>22</v>
      </c>
    </row>
    <row r="508" spans="1:6" x14ac:dyDescent="0.3">
      <c r="A508" s="2">
        <v>413</v>
      </c>
      <c r="B508" s="2">
        <v>42</v>
      </c>
      <c r="C508" s="6">
        <v>2292</v>
      </c>
      <c r="D508" s="2">
        <v>12</v>
      </c>
      <c r="E508" s="2" t="s">
        <v>23</v>
      </c>
      <c r="F508" s="2" t="s">
        <v>33</v>
      </c>
    </row>
    <row r="509" spans="1:6" x14ac:dyDescent="0.3">
      <c r="A509" s="2">
        <v>145</v>
      </c>
      <c r="B509" s="2">
        <v>23</v>
      </c>
      <c r="C509" s="6">
        <v>2288</v>
      </c>
      <c r="D509" s="2">
        <v>21</v>
      </c>
      <c r="E509" s="2" t="s">
        <v>26</v>
      </c>
      <c r="F509" s="2" t="s">
        <v>22</v>
      </c>
    </row>
    <row r="510" spans="1:6" x14ac:dyDescent="0.3">
      <c r="A510" s="2">
        <v>695</v>
      </c>
      <c r="B510" s="2">
        <v>28</v>
      </c>
      <c r="C510" s="6">
        <v>2284</v>
      </c>
      <c r="D510" s="2">
        <v>24</v>
      </c>
      <c r="E510" s="2" t="s">
        <v>24</v>
      </c>
      <c r="F510" s="2" t="s">
        <v>22</v>
      </c>
    </row>
    <row r="511" spans="1:6" x14ac:dyDescent="0.3">
      <c r="A511" s="2">
        <v>682</v>
      </c>
      <c r="B511" s="2">
        <v>37</v>
      </c>
      <c r="C511" s="6">
        <v>2279</v>
      </c>
      <c r="D511" s="2">
        <v>12</v>
      </c>
      <c r="E511" s="2" t="s">
        <v>24</v>
      </c>
      <c r="F511" s="2" t="s">
        <v>33</v>
      </c>
    </row>
    <row r="512" spans="1:6" x14ac:dyDescent="0.3">
      <c r="A512" s="2">
        <v>557</v>
      </c>
      <c r="B512" s="2">
        <v>28</v>
      </c>
      <c r="C512" s="6">
        <v>2278</v>
      </c>
      <c r="D512" s="2">
        <v>18</v>
      </c>
      <c r="E512" s="2" t="s">
        <v>25</v>
      </c>
      <c r="F512" s="2" t="s">
        <v>22</v>
      </c>
    </row>
    <row r="513" spans="1:6" x14ac:dyDescent="0.3">
      <c r="A513" s="2">
        <v>531</v>
      </c>
      <c r="B513" s="2">
        <v>32</v>
      </c>
      <c r="C513" s="6">
        <v>2273</v>
      </c>
      <c r="D513" s="2">
        <v>36</v>
      </c>
      <c r="E513" s="2" t="s">
        <v>28</v>
      </c>
      <c r="F513" s="2" t="s">
        <v>22</v>
      </c>
    </row>
    <row r="514" spans="1:6" x14ac:dyDescent="0.3">
      <c r="A514" s="2">
        <v>515</v>
      </c>
      <c r="B514" s="2">
        <v>54</v>
      </c>
      <c r="C514" s="6">
        <v>2255</v>
      </c>
      <c r="D514" s="2">
        <v>24</v>
      </c>
      <c r="E514" s="2" t="s">
        <v>25</v>
      </c>
      <c r="F514" s="2" t="s">
        <v>22</v>
      </c>
    </row>
    <row r="515" spans="1:6" x14ac:dyDescent="0.3">
      <c r="A515" s="2">
        <v>252</v>
      </c>
      <c r="B515" s="2">
        <v>46</v>
      </c>
      <c r="C515" s="6">
        <v>2251</v>
      </c>
      <c r="D515" s="2">
        <v>12</v>
      </c>
      <c r="E515" s="2" t="s">
        <v>26</v>
      </c>
      <c r="F515" s="2" t="s">
        <v>33</v>
      </c>
    </row>
    <row r="516" spans="1:6" x14ac:dyDescent="0.3">
      <c r="A516" s="2">
        <v>89</v>
      </c>
      <c r="B516" s="2">
        <v>30</v>
      </c>
      <c r="C516" s="6">
        <v>2249</v>
      </c>
      <c r="D516" s="2">
        <v>18</v>
      </c>
      <c r="E516" s="2" t="s">
        <v>25</v>
      </c>
      <c r="F516" s="2" t="s">
        <v>22</v>
      </c>
    </row>
    <row r="517" spans="1:6" x14ac:dyDescent="0.3">
      <c r="A517" s="2">
        <v>363</v>
      </c>
      <c r="B517" s="2">
        <v>36</v>
      </c>
      <c r="C517" s="6">
        <v>2247</v>
      </c>
      <c r="D517" s="2">
        <v>12</v>
      </c>
      <c r="E517" s="2" t="s">
        <v>25</v>
      </c>
      <c r="F517" s="2" t="s">
        <v>33</v>
      </c>
    </row>
    <row r="518" spans="1:6" x14ac:dyDescent="0.3">
      <c r="A518" s="2">
        <v>590</v>
      </c>
      <c r="B518" s="2">
        <v>60</v>
      </c>
      <c r="C518" s="6">
        <v>2246</v>
      </c>
      <c r="D518" s="2">
        <v>12</v>
      </c>
      <c r="E518" s="2" t="s">
        <v>26</v>
      </c>
      <c r="F518" s="2" t="s">
        <v>33</v>
      </c>
    </row>
    <row r="519" spans="1:6" x14ac:dyDescent="0.3">
      <c r="A519" s="2">
        <v>23</v>
      </c>
      <c r="B519" s="2">
        <v>48</v>
      </c>
      <c r="C519" s="6">
        <v>2241</v>
      </c>
      <c r="D519" s="2">
        <v>10</v>
      </c>
      <c r="E519" s="2" t="s">
        <v>25</v>
      </c>
      <c r="F519" s="2" t="s">
        <v>33</v>
      </c>
    </row>
    <row r="520" spans="1:6" x14ac:dyDescent="0.3">
      <c r="A520" s="2">
        <v>663</v>
      </c>
      <c r="B520" s="2">
        <v>50</v>
      </c>
      <c r="C520" s="6">
        <v>2241</v>
      </c>
      <c r="D520" s="2">
        <v>21</v>
      </c>
      <c r="E520" s="2" t="s">
        <v>26</v>
      </c>
      <c r="F520" s="2" t="s">
        <v>22</v>
      </c>
    </row>
    <row r="521" spans="1:6" x14ac:dyDescent="0.3">
      <c r="A521" s="2">
        <v>386</v>
      </c>
      <c r="B521" s="2">
        <v>25</v>
      </c>
      <c r="C521" s="6">
        <v>2238</v>
      </c>
      <c r="D521" s="2">
        <v>18</v>
      </c>
      <c r="E521" s="2" t="s">
        <v>24</v>
      </c>
      <c r="F521" s="2" t="s">
        <v>22</v>
      </c>
    </row>
    <row r="522" spans="1:6" x14ac:dyDescent="0.3">
      <c r="A522" s="2">
        <v>851</v>
      </c>
      <c r="B522" s="2">
        <v>33</v>
      </c>
      <c r="C522" s="6">
        <v>2235</v>
      </c>
      <c r="D522" s="2">
        <v>20</v>
      </c>
      <c r="E522" s="2" t="s">
        <v>25</v>
      </c>
      <c r="F522" s="2" t="s">
        <v>22</v>
      </c>
    </row>
    <row r="523" spans="1:6" x14ac:dyDescent="0.3">
      <c r="A523" s="2">
        <v>55</v>
      </c>
      <c r="B523" s="2">
        <v>57</v>
      </c>
      <c r="C523" s="6">
        <v>2225</v>
      </c>
      <c r="D523" s="2">
        <v>36</v>
      </c>
      <c r="E523" s="2" t="s">
        <v>25</v>
      </c>
      <c r="F523" s="2" t="s">
        <v>22</v>
      </c>
    </row>
    <row r="524" spans="1:6" x14ac:dyDescent="0.3">
      <c r="A524" s="2">
        <v>774</v>
      </c>
      <c r="B524" s="2">
        <v>52</v>
      </c>
      <c r="C524" s="6">
        <v>2223</v>
      </c>
      <c r="D524" s="2">
        <v>24</v>
      </c>
      <c r="E524" s="2" t="s">
        <v>24</v>
      </c>
      <c r="F524" s="2" t="s">
        <v>22</v>
      </c>
    </row>
    <row r="525" spans="1:6" x14ac:dyDescent="0.3">
      <c r="A525" s="2">
        <v>866</v>
      </c>
      <c r="B525" s="2">
        <v>20</v>
      </c>
      <c r="C525" s="6">
        <v>2221</v>
      </c>
      <c r="D525" s="2">
        <v>15</v>
      </c>
      <c r="E525" s="2" t="s">
        <v>26</v>
      </c>
      <c r="F525" s="2" t="s">
        <v>22</v>
      </c>
    </row>
    <row r="526" spans="1:6" x14ac:dyDescent="0.3">
      <c r="A526" s="2">
        <v>763</v>
      </c>
      <c r="B526" s="2">
        <v>24</v>
      </c>
      <c r="C526" s="6">
        <v>2214</v>
      </c>
      <c r="D526" s="2">
        <v>12</v>
      </c>
      <c r="E526" s="2" t="s">
        <v>24</v>
      </c>
      <c r="F526" s="2" t="s">
        <v>33</v>
      </c>
    </row>
    <row r="527" spans="1:6" x14ac:dyDescent="0.3">
      <c r="A527" s="2">
        <v>381</v>
      </c>
      <c r="B527" s="2">
        <v>39</v>
      </c>
      <c r="C527" s="6">
        <v>2212</v>
      </c>
      <c r="D527" s="2">
        <v>20</v>
      </c>
      <c r="E527" s="2" t="s">
        <v>26</v>
      </c>
      <c r="F527" s="2" t="s">
        <v>22</v>
      </c>
    </row>
    <row r="528" spans="1:6" x14ac:dyDescent="0.3">
      <c r="A528" s="2">
        <v>865</v>
      </c>
      <c r="B528" s="2">
        <v>25</v>
      </c>
      <c r="C528" s="6">
        <v>2210</v>
      </c>
      <c r="D528" s="2">
        <v>10</v>
      </c>
      <c r="E528" s="2" t="s">
        <v>26</v>
      </c>
      <c r="F528" s="2" t="s">
        <v>33</v>
      </c>
    </row>
    <row r="529" spans="1:6" x14ac:dyDescent="0.3">
      <c r="A529" s="2">
        <v>407</v>
      </c>
      <c r="B529" s="2">
        <v>43</v>
      </c>
      <c r="C529" s="6">
        <v>2197</v>
      </c>
      <c r="D529" s="2">
        <v>24</v>
      </c>
      <c r="E529" s="2" t="s">
        <v>27</v>
      </c>
      <c r="F529" s="2" t="s">
        <v>22</v>
      </c>
    </row>
    <row r="530" spans="1:6" x14ac:dyDescent="0.3">
      <c r="A530" s="2">
        <v>899</v>
      </c>
      <c r="B530" s="2">
        <v>33</v>
      </c>
      <c r="C530" s="6">
        <v>2186</v>
      </c>
      <c r="D530" s="2">
        <v>15</v>
      </c>
      <c r="E530" s="2" t="s">
        <v>26</v>
      </c>
      <c r="F530" s="2" t="s">
        <v>22</v>
      </c>
    </row>
    <row r="531" spans="1:6" x14ac:dyDescent="0.3">
      <c r="A531" s="2">
        <v>883</v>
      </c>
      <c r="B531" s="2">
        <v>36</v>
      </c>
      <c r="C531" s="6">
        <v>2181</v>
      </c>
      <c r="D531" s="2">
        <v>30</v>
      </c>
      <c r="E531" s="2" t="s">
        <v>25</v>
      </c>
      <c r="F531" s="2" t="s">
        <v>22</v>
      </c>
    </row>
    <row r="532" spans="1:6" x14ac:dyDescent="0.3">
      <c r="A532" s="2">
        <v>67</v>
      </c>
      <c r="B532" s="2">
        <v>29</v>
      </c>
      <c r="C532" s="6">
        <v>2171</v>
      </c>
      <c r="D532" s="2">
        <v>12</v>
      </c>
      <c r="E532" s="2" t="s">
        <v>24</v>
      </c>
      <c r="F532" s="2" t="s">
        <v>33</v>
      </c>
    </row>
    <row r="533" spans="1:6" x14ac:dyDescent="0.3">
      <c r="A533" s="2">
        <v>893</v>
      </c>
      <c r="B533" s="2">
        <v>38</v>
      </c>
      <c r="C533" s="6">
        <v>2171</v>
      </c>
      <c r="D533" s="2">
        <v>12</v>
      </c>
      <c r="E533" s="2" t="s">
        <v>25</v>
      </c>
      <c r="F533" s="2" t="s">
        <v>33</v>
      </c>
    </row>
    <row r="534" spans="1:6" x14ac:dyDescent="0.3">
      <c r="A534" s="2">
        <v>862</v>
      </c>
      <c r="B534" s="2">
        <v>28</v>
      </c>
      <c r="C534" s="6">
        <v>2169</v>
      </c>
      <c r="D534" s="2">
        <v>18</v>
      </c>
      <c r="E534" s="2" t="s">
        <v>23</v>
      </c>
      <c r="F534" s="2" t="s">
        <v>22</v>
      </c>
    </row>
    <row r="535" spans="1:6" x14ac:dyDescent="0.3">
      <c r="A535" s="2">
        <v>253</v>
      </c>
      <c r="B535" s="2">
        <v>24</v>
      </c>
      <c r="C535" s="6">
        <v>2150</v>
      </c>
      <c r="D535" s="2">
        <v>30</v>
      </c>
      <c r="E535" s="2" t="s">
        <v>25</v>
      </c>
      <c r="F535" s="2" t="s">
        <v>22</v>
      </c>
    </row>
    <row r="536" spans="1:6" x14ac:dyDescent="0.3">
      <c r="A536" s="2">
        <v>258</v>
      </c>
      <c r="B536" s="2">
        <v>29</v>
      </c>
      <c r="C536" s="6">
        <v>2149</v>
      </c>
      <c r="D536" s="2">
        <v>12</v>
      </c>
      <c r="E536" s="2" t="s">
        <v>24</v>
      </c>
      <c r="F536" s="2" t="s">
        <v>33</v>
      </c>
    </row>
    <row r="537" spans="1:6" x14ac:dyDescent="0.3">
      <c r="A537" s="2">
        <v>373</v>
      </c>
      <c r="B537" s="2">
        <v>23</v>
      </c>
      <c r="C537" s="6">
        <v>2146</v>
      </c>
      <c r="D537" s="2">
        <v>10</v>
      </c>
      <c r="E537" s="2" t="s">
        <v>26</v>
      </c>
      <c r="F537" s="2" t="s">
        <v>33</v>
      </c>
    </row>
    <row r="538" spans="1:6" x14ac:dyDescent="0.3">
      <c r="A538" s="2">
        <v>952</v>
      </c>
      <c r="B538" s="2">
        <v>24</v>
      </c>
      <c r="C538" s="6">
        <v>2145</v>
      </c>
      <c r="D538" s="2">
        <v>36</v>
      </c>
      <c r="E538" s="2" t="s">
        <v>23</v>
      </c>
      <c r="F538" s="2" t="s">
        <v>22</v>
      </c>
    </row>
    <row r="539" spans="1:6" x14ac:dyDescent="0.3">
      <c r="A539" s="2">
        <v>914</v>
      </c>
      <c r="B539" s="2">
        <v>28</v>
      </c>
      <c r="C539" s="6">
        <v>2142</v>
      </c>
      <c r="D539" s="2">
        <v>11</v>
      </c>
      <c r="E539" s="2" t="s">
        <v>23</v>
      </c>
      <c r="F539" s="2" t="s">
        <v>33</v>
      </c>
    </row>
    <row r="540" spans="1:6" x14ac:dyDescent="0.3">
      <c r="A540" s="2">
        <v>233</v>
      </c>
      <c r="B540" s="2">
        <v>35</v>
      </c>
      <c r="C540" s="6">
        <v>2141</v>
      </c>
      <c r="D540" s="2">
        <v>12</v>
      </c>
      <c r="E540" s="2" t="s">
        <v>24</v>
      </c>
      <c r="F540" s="2" t="s">
        <v>33</v>
      </c>
    </row>
    <row r="541" spans="1:6" x14ac:dyDescent="0.3">
      <c r="A541" s="2">
        <v>435</v>
      </c>
      <c r="B541" s="2">
        <v>25</v>
      </c>
      <c r="C541" s="6">
        <v>2136</v>
      </c>
      <c r="D541" s="2">
        <v>9</v>
      </c>
      <c r="E541" s="2" t="s">
        <v>26</v>
      </c>
      <c r="F541" s="2" t="s">
        <v>33</v>
      </c>
    </row>
    <row r="542" spans="1:6" x14ac:dyDescent="0.3">
      <c r="A542" s="2">
        <v>21</v>
      </c>
      <c r="B542" s="2">
        <v>48</v>
      </c>
      <c r="C542" s="6">
        <v>2134</v>
      </c>
      <c r="D542" s="2">
        <v>9</v>
      </c>
      <c r="E542" s="2" t="s">
        <v>25</v>
      </c>
      <c r="F542" s="2" t="s">
        <v>33</v>
      </c>
    </row>
    <row r="543" spans="1:6" x14ac:dyDescent="0.3">
      <c r="A543" s="2">
        <v>585</v>
      </c>
      <c r="B543" s="2">
        <v>52</v>
      </c>
      <c r="C543" s="6">
        <v>2133</v>
      </c>
      <c r="D543" s="2">
        <v>12</v>
      </c>
      <c r="E543" s="2" t="s">
        <v>25</v>
      </c>
      <c r="F543" s="2" t="s">
        <v>33</v>
      </c>
    </row>
    <row r="544" spans="1:6" x14ac:dyDescent="0.3">
      <c r="A544" s="2">
        <v>118</v>
      </c>
      <c r="B544" s="2">
        <v>27</v>
      </c>
      <c r="C544" s="6">
        <v>2132</v>
      </c>
      <c r="D544" s="2">
        <v>10</v>
      </c>
      <c r="E544" s="2" t="s">
        <v>26</v>
      </c>
      <c r="F544" s="2" t="s">
        <v>33</v>
      </c>
    </row>
    <row r="545" spans="1:6" x14ac:dyDescent="0.3">
      <c r="A545" s="2">
        <v>762</v>
      </c>
      <c r="B545" s="2">
        <v>24</v>
      </c>
      <c r="C545" s="6">
        <v>2124</v>
      </c>
      <c r="D545" s="2">
        <v>18</v>
      </c>
      <c r="E545" s="2" t="s">
        <v>26</v>
      </c>
      <c r="F545" s="2" t="s">
        <v>22</v>
      </c>
    </row>
    <row r="546" spans="1:6" x14ac:dyDescent="0.3">
      <c r="A546" s="2">
        <v>495</v>
      </c>
      <c r="B546" s="2">
        <v>39</v>
      </c>
      <c r="C546" s="6">
        <v>2122</v>
      </c>
      <c r="D546" s="2">
        <v>12</v>
      </c>
      <c r="E546" s="2" t="s">
        <v>25</v>
      </c>
      <c r="F546" s="2" t="s">
        <v>33</v>
      </c>
    </row>
    <row r="547" spans="1:6" x14ac:dyDescent="0.3">
      <c r="A547" s="2">
        <v>126</v>
      </c>
      <c r="B547" s="2">
        <v>30</v>
      </c>
      <c r="C547" s="6">
        <v>2121</v>
      </c>
      <c r="D547" s="2">
        <v>12</v>
      </c>
      <c r="E547" s="2" t="s">
        <v>25</v>
      </c>
      <c r="F547" s="2" t="s">
        <v>33</v>
      </c>
    </row>
    <row r="548" spans="1:6" x14ac:dyDescent="0.3">
      <c r="A548" s="2">
        <v>710</v>
      </c>
      <c r="B548" s="2">
        <v>37</v>
      </c>
      <c r="C548" s="6">
        <v>2118</v>
      </c>
      <c r="D548" s="2">
        <v>9</v>
      </c>
      <c r="E548" s="2" t="s">
        <v>24</v>
      </c>
      <c r="F548" s="2" t="s">
        <v>33</v>
      </c>
    </row>
    <row r="549" spans="1:6" x14ac:dyDescent="0.3">
      <c r="A549" s="2">
        <v>627</v>
      </c>
      <c r="B549" s="2">
        <v>41</v>
      </c>
      <c r="C549" s="6">
        <v>2116</v>
      </c>
      <c r="D549" s="2">
        <v>6</v>
      </c>
      <c r="E549" s="2" t="s">
        <v>26</v>
      </c>
      <c r="F549" s="2" t="s">
        <v>33</v>
      </c>
    </row>
    <row r="550" spans="1:6" x14ac:dyDescent="0.3">
      <c r="A550" s="2">
        <v>194</v>
      </c>
      <c r="B550" s="2">
        <v>29</v>
      </c>
      <c r="C550" s="6">
        <v>2108</v>
      </c>
      <c r="D550" s="2">
        <v>6</v>
      </c>
      <c r="E550" s="2" t="s">
        <v>24</v>
      </c>
      <c r="F550" s="2" t="s">
        <v>33</v>
      </c>
    </row>
    <row r="551" spans="1:6" x14ac:dyDescent="0.3">
      <c r="A551" s="2">
        <v>337</v>
      </c>
      <c r="B551" s="2">
        <v>23</v>
      </c>
      <c r="C551" s="6">
        <v>2101</v>
      </c>
      <c r="D551" s="2">
        <v>13</v>
      </c>
      <c r="E551" s="2" t="s">
        <v>24</v>
      </c>
      <c r="F551" s="2" t="s">
        <v>22</v>
      </c>
    </row>
    <row r="552" spans="1:6" x14ac:dyDescent="0.3">
      <c r="A552" s="2">
        <v>38</v>
      </c>
      <c r="B552" s="2">
        <v>37</v>
      </c>
      <c r="C552" s="6">
        <v>2100</v>
      </c>
      <c r="D552" s="2">
        <v>18</v>
      </c>
      <c r="E552" s="2" t="s">
        <v>24</v>
      </c>
      <c r="F552" s="2" t="s">
        <v>22</v>
      </c>
    </row>
    <row r="553" spans="1:6" x14ac:dyDescent="0.3">
      <c r="A553" s="2">
        <v>3</v>
      </c>
      <c r="B553" s="2">
        <v>49</v>
      </c>
      <c r="C553" s="6">
        <v>2096</v>
      </c>
      <c r="D553" s="2">
        <v>12</v>
      </c>
      <c r="E553" s="2" t="s">
        <v>28</v>
      </c>
      <c r="F553" s="2" t="s">
        <v>33</v>
      </c>
    </row>
    <row r="554" spans="1:6" x14ac:dyDescent="0.3">
      <c r="A554" s="2">
        <v>674</v>
      </c>
      <c r="B554" s="2">
        <v>24</v>
      </c>
      <c r="C554" s="6">
        <v>2080</v>
      </c>
      <c r="D554" s="2">
        <v>6</v>
      </c>
      <c r="E554" s="2" t="s">
        <v>25</v>
      </c>
      <c r="F554" s="2" t="s">
        <v>33</v>
      </c>
    </row>
    <row r="555" spans="1:6" x14ac:dyDescent="0.3">
      <c r="A555" s="2">
        <v>50</v>
      </c>
      <c r="B555" s="2">
        <v>28</v>
      </c>
      <c r="C555" s="6">
        <v>2073</v>
      </c>
      <c r="D555" s="2">
        <v>12</v>
      </c>
      <c r="E555" s="2" t="s">
        <v>24</v>
      </c>
      <c r="F555" s="2" t="s">
        <v>33</v>
      </c>
    </row>
    <row r="556" spans="1:6" x14ac:dyDescent="0.3">
      <c r="A556" s="2">
        <v>25</v>
      </c>
      <c r="B556" s="2">
        <v>26</v>
      </c>
      <c r="C556" s="6">
        <v>2069</v>
      </c>
      <c r="D556" s="2">
        <v>10</v>
      </c>
      <c r="E556" s="2" t="s">
        <v>26</v>
      </c>
      <c r="F556" s="2" t="s">
        <v>33</v>
      </c>
    </row>
    <row r="557" spans="1:6" x14ac:dyDescent="0.3">
      <c r="A557" s="2">
        <v>173</v>
      </c>
      <c r="B557" s="2">
        <v>34</v>
      </c>
      <c r="C557" s="6">
        <v>2064</v>
      </c>
      <c r="D557" s="2">
        <v>24</v>
      </c>
      <c r="E557" s="2" t="s">
        <v>26</v>
      </c>
      <c r="F557" s="2" t="s">
        <v>22</v>
      </c>
    </row>
    <row r="558" spans="1:6" x14ac:dyDescent="0.3">
      <c r="A558" s="2">
        <v>938</v>
      </c>
      <c r="B558" s="2">
        <v>30</v>
      </c>
      <c r="C558" s="6">
        <v>2063</v>
      </c>
      <c r="D558" s="2">
        <v>6</v>
      </c>
      <c r="E558" s="2" t="s">
        <v>24</v>
      </c>
      <c r="F558" s="2" t="s">
        <v>33</v>
      </c>
    </row>
    <row r="559" spans="1:6" x14ac:dyDescent="0.3">
      <c r="A559" s="2">
        <v>434</v>
      </c>
      <c r="B559" s="2">
        <v>33</v>
      </c>
      <c r="C559" s="6">
        <v>2058</v>
      </c>
      <c r="D559" s="2">
        <v>24</v>
      </c>
      <c r="E559" s="2" t="s">
        <v>29</v>
      </c>
      <c r="F559" s="2" t="s">
        <v>22</v>
      </c>
    </row>
    <row r="560" spans="1:6" x14ac:dyDescent="0.3">
      <c r="A560" s="2">
        <v>609</v>
      </c>
      <c r="B560" s="2">
        <v>33</v>
      </c>
      <c r="C560" s="6">
        <v>2051</v>
      </c>
      <c r="D560" s="2">
        <v>18</v>
      </c>
      <c r="E560" s="2" t="s">
        <v>24</v>
      </c>
      <c r="F560" s="2" t="s">
        <v>22</v>
      </c>
    </row>
    <row r="561" spans="1:6" x14ac:dyDescent="0.3">
      <c r="A561" s="2">
        <v>406</v>
      </c>
      <c r="B561" s="2">
        <v>22</v>
      </c>
      <c r="C561" s="6">
        <v>2039</v>
      </c>
      <c r="D561" s="2">
        <v>24</v>
      </c>
      <c r="E561" s="2" t="s">
        <v>24</v>
      </c>
      <c r="F561" s="2" t="s">
        <v>22</v>
      </c>
    </row>
    <row r="562" spans="1:6" x14ac:dyDescent="0.3">
      <c r="A562" s="2">
        <v>586</v>
      </c>
      <c r="B562" s="2">
        <v>20</v>
      </c>
      <c r="C562" s="6">
        <v>2039</v>
      </c>
      <c r="D562" s="2">
        <v>18</v>
      </c>
      <c r="E562" s="2" t="s">
        <v>26</v>
      </c>
      <c r="F562" s="2" t="s">
        <v>22</v>
      </c>
    </row>
    <row r="563" spans="1:6" x14ac:dyDescent="0.3">
      <c r="A563" s="2">
        <v>542</v>
      </c>
      <c r="B563" s="2">
        <v>60</v>
      </c>
      <c r="C563" s="6">
        <v>2032</v>
      </c>
      <c r="D563" s="2">
        <v>24</v>
      </c>
      <c r="E563" s="2" t="s">
        <v>25</v>
      </c>
      <c r="F563" s="2" t="s">
        <v>22</v>
      </c>
    </row>
    <row r="564" spans="1:6" x14ac:dyDescent="0.3">
      <c r="A564" s="2">
        <v>255</v>
      </c>
      <c r="B564" s="2">
        <v>24</v>
      </c>
      <c r="C564" s="6">
        <v>2030</v>
      </c>
      <c r="D564" s="2">
        <v>9</v>
      </c>
      <c r="E564" s="2" t="s">
        <v>26</v>
      </c>
      <c r="F564" s="2" t="s">
        <v>33</v>
      </c>
    </row>
    <row r="565" spans="1:6" x14ac:dyDescent="0.3">
      <c r="A565" s="2">
        <v>422</v>
      </c>
      <c r="B565" s="2">
        <v>30</v>
      </c>
      <c r="C565" s="6">
        <v>2028</v>
      </c>
      <c r="D565" s="2">
        <v>12</v>
      </c>
      <c r="E565" s="2" t="s">
        <v>27</v>
      </c>
      <c r="F565" s="2" t="s">
        <v>33</v>
      </c>
    </row>
    <row r="566" spans="1:6" x14ac:dyDescent="0.3">
      <c r="A566" s="2">
        <v>985</v>
      </c>
      <c r="B566" s="2">
        <v>30</v>
      </c>
      <c r="C566" s="6">
        <v>2028</v>
      </c>
      <c r="D566" s="2">
        <v>24</v>
      </c>
      <c r="E566" s="2" t="s">
        <v>26</v>
      </c>
      <c r="F566" s="2" t="s">
        <v>22</v>
      </c>
    </row>
    <row r="567" spans="1:6" x14ac:dyDescent="0.3">
      <c r="A567" s="2">
        <v>547</v>
      </c>
      <c r="B567" s="2">
        <v>37</v>
      </c>
      <c r="C567" s="6">
        <v>2022</v>
      </c>
      <c r="D567" s="2">
        <v>24</v>
      </c>
      <c r="E567" s="2" t="s">
        <v>25</v>
      </c>
      <c r="F567" s="2" t="s">
        <v>22</v>
      </c>
    </row>
    <row r="568" spans="1:6" x14ac:dyDescent="0.3">
      <c r="A568" s="2">
        <v>97</v>
      </c>
      <c r="B568" s="2">
        <v>61</v>
      </c>
      <c r="C568" s="6">
        <v>2012</v>
      </c>
      <c r="D568" s="2">
        <v>12</v>
      </c>
      <c r="E568" s="2" t="s">
        <v>28</v>
      </c>
      <c r="F568" s="2" t="s">
        <v>33</v>
      </c>
    </row>
    <row r="569" spans="1:6" x14ac:dyDescent="0.3">
      <c r="A569" s="2">
        <v>924</v>
      </c>
      <c r="B569" s="2">
        <v>30</v>
      </c>
      <c r="C569" s="6">
        <v>2002</v>
      </c>
      <c r="D569" s="2">
        <v>12</v>
      </c>
      <c r="E569" s="2" t="s">
        <v>25</v>
      </c>
      <c r="F569" s="2" t="s">
        <v>33</v>
      </c>
    </row>
    <row r="570" spans="1:6" x14ac:dyDescent="0.3">
      <c r="A570" s="2">
        <v>554</v>
      </c>
      <c r="B570" s="2">
        <v>27</v>
      </c>
      <c r="C570" s="6">
        <v>1995</v>
      </c>
      <c r="D570" s="2">
        <v>12</v>
      </c>
      <c r="E570" s="2" t="s">
        <v>25</v>
      </c>
      <c r="F570" s="2" t="s">
        <v>33</v>
      </c>
    </row>
    <row r="571" spans="1:6" x14ac:dyDescent="0.3">
      <c r="A571" s="2">
        <v>732</v>
      </c>
      <c r="B571" s="2">
        <v>21</v>
      </c>
      <c r="C571" s="6">
        <v>1987</v>
      </c>
      <c r="D571" s="2">
        <v>24</v>
      </c>
      <c r="E571" s="2" t="s">
        <v>24</v>
      </c>
      <c r="F571" s="2" t="s">
        <v>22</v>
      </c>
    </row>
    <row r="572" spans="1:6" x14ac:dyDescent="0.3">
      <c r="A572" s="2">
        <v>134</v>
      </c>
      <c r="B572" s="2">
        <v>47</v>
      </c>
      <c r="C572" s="6">
        <v>1984</v>
      </c>
      <c r="D572" s="2">
        <v>18</v>
      </c>
      <c r="E572" s="2" t="s">
        <v>26</v>
      </c>
      <c r="F572" s="2" t="s">
        <v>22</v>
      </c>
    </row>
    <row r="573" spans="1:6" x14ac:dyDescent="0.3">
      <c r="A573" s="2">
        <v>634</v>
      </c>
      <c r="B573" s="2">
        <v>19</v>
      </c>
      <c r="C573" s="6">
        <v>1980</v>
      </c>
      <c r="D573" s="2">
        <v>9</v>
      </c>
      <c r="E573" s="2" t="s">
        <v>26</v>
      </c>
      <c r="F573" s="2" t="s">
        <v>33</v>
      </c>
    </row>
    <row r="574" spans="1:6" x14ac:dyDescent="0.3">
      <c r="A574" s="2">
        <v>626</v>
      </c>
      <c r="B574" s="2">
        <v>35</v>
      </c>
      <c r="C574" s="6">
        <v>1979</v>
      </c>
      <c r="D574" s="2">
        <v>15</v>
      </c>
      <c r="E574" s="2" t="s">
        <v>24</v>
      </c>
      <c r="F574" s="2" t="s">
        <v>22</v>
      </c>
    </row>
    <row r="575" spans="1:6" x14ac:dyDescent="0.3">
      <c r="A575" s="2">
        <v>75</v>
      </c>
      <c r="B575" s="2">
        <v>40</v>
      </c>
      <c r="C575" s="6">
        <v>1977</v>
      </c>
      <c r="D575" s="2">
        <v>36</v>
      </c>
      <c r="E575" s="2" t="s">
        <v>28</v>
      </c>
      <c r="F575" s="2" t="s">
        <v>22</v>
      </c>
    </row>
    <row r="576" spans="1:6" x14ac:dyDescent="0.3">
      <c r="A576" s="2">
        <v>411</v>
      </c>
      <c r="B576" s="2">
        <v>20</v>
      </c>
      <c r="C576" s="6">
        <v>1967</v>
      </c>
      <c r="D576" s="2">
        <v>24</v>
      </c>
      <c r="E576" s="2" t="s">
        <v>24</v>
      </c>
      <c r="F576" s="2" t="s">
        <v>22</v>
      </c>
    </row>
    <row r="577" spans="1:6" x14ac:dyDescent="0.3">
      <c r="A577" s="2">
        <v>592</v>
      </c>
      <c r="B577" s="2">
        <v>42</v>
      </c>
      <c r="C577" s="6">
        <v>1965</v>
      </c>
      <c r="D577" s="2">
        <v>24</v>
      </c>
      <c r="E577" s="2" t="s">
        <v>25</v>
      </c>
      <c r="F577" s="2" t="s">
        <v>22</v>
      </c>
    </row>
    <row r="578" spans="1:6" x14ac:dyDescent="0.3">
      <c r="A578" s="2">
        <v>179</v>
      </c>
      <c r="B578" s="2">
        <v>31</v>
      </c>
      <c r="C578" s="6">
        <v>1963</v>
      </c>
      <c r="D578" s="2">
        <v>12</v>
      </c>
      <c r="E578" s="2" t="s">
        <v>24</v>
      </c>
      <c r="F578" s="2" t="s">
        <v>33</v>
      </c>
    </row>
    <row r="579" spans="1:6" x14ac:dyDescent="0.3">
      <c r="A579" s="2">
        <v>59</v>
      </c>
      <c r="B579" s="2">
        <v>23</v>
      </c>
      <c r="C579" s="6">
        <v>1961</v>
      </c>
      <c r="D579" s="2">
        <v>18</v>
      </c>
      <c r="E579" s="2" t="s">
        <v>25</v>
      </c>
      <c r="F579" s="2" t="s">
        <v>22</v>
      </c>
    </row>
    <row r="580" spans="1:6" x14ac:dyDescent="0.3">
      <c r="A580" s="2">
        <v>394</v>
      </c>
      <c r="B580" s="2">
        <v>31</v>
      </c>
      <c r="C580" s="6">
        <v>1957</v>
      </c>
      <c r="D580" s="2">
        <v>6</v>
      </c>
      <c r="E580" s="2" t="s">
        <v>24</v>
      </c>
      <c r="F580" s="2" t="s">
        <v>33</v>
      </c>
    </row>
    <row r="581" spans="1:6" x14ac:dyDescent="0.3">
      <c r="A581" s="2">
        <v>63</v>
      </c>
      <c r="B581" s="2">
        <v>61</v>
      </c>
      <c r="C581" s="6">
        <v>1953</v>
      </c>
      <c r="D581" s="2">
        <v>36</v>
      </c>
      <c r="E581" s="2" t="s">
        <v>23</v>
      </c>
      <c r="F581" s="2" t="s">
        <v>22</v>
      </c>
    </row>
    <row r="582" spans="1:6" x14ac:dyDescent="0.3">
      <c r="A582" s="2">
        <v>465</v>
      </c>
      <c r="B582" s="2">
        <v>34</v>
      </c>
      <c r="C582" s="6">
        <v>1950</v>
      </c>
      <c r="D582" s="2">
        <v>18</v>
      </c>
      <c r="E582" s="2" t="s">
        <v>23</v>
      </c>
      <c r="F582" s="2" t="s">
        <v>22</v>
      </c>
    </row>
    <row r="583" spans="1:6" x14ac:dyDescent="0.3">
      <c r="A583" s="2">
        <v>843</v>
      </c>
      <c r="B583" s="2">
        <v>23</v>
      </c>
      <c r="C583" s="6">
        <v>1943</v>
      </c>
      <c r="D583" s="2">
        <v>18</v>
      </c>
      <c r="E583" s="2" t="s">
        <v>29</v>
      </c>
      <c r="F583" s="2" t="s">
        <v>22</v>
      </c>
    </row>
    <row r="584" spans="1:6" x14ac:dyDescent="0.3">
      <c r="A584" s="2">
        <v>786</v>
      </c>
      <c r="B584" s="2">
        <v>35</v>
      </c>
      <c r="C584" s="6">
        <v>1941</v>
      </c>
      <c r="D584" s="2">
        <v>18</v>
      </c>
      <c r="E584" s="2" t="s">
        <v>23</v>
      </c>
      <c r="F584" s="2" t="s">
        <v>22</v>
      </c>
    </row>
    <row r="585" spans="1:6" x14ac:dyDescent="0.3">
      <c r="A585" s="2">
        <v>782</v>
      </c>
      <c r="B585" s="2">
        <v>60</v>
      </c>
      <c r="C585" s="6">
        <v>1940</v>
      </c>
      <c r="D585" s="2">
        <v>24</v>
      </c>
      <c r="E585" s="2" t="s">
        <v>25</v>
      </c>
      <c r="F585" s="2" t="s">
        <v>22</v>
      </c>
    </row>
    <row r="586" spans="1:6" x14ac:dyDescent="0.3">
      <c r="A586" s="2">
        <v>877</v>
      </c>
      <c r="B586" s="2">
        <v>36</v>
      </c>
      <c r="C586" s="6">
        <v>1940</v>
      </c>
      <c r="D586" s="2">
        <v>18</v>
      </c>
      <c r="E586" s="2" t="s">
        <v>24</v>
      </c>
      <c r="F586" s="2" t="s">
        <v>22</v>
      </c>
    </row>
    <row r="587" spans="1:6" x14ac:dyDescent="0.3">
      <c r="A587" s="2">
        <v>322</v>
      </c>
      <c r="B587" s="2">
        <v>32</v>
      </c>
      <c r="C587" s="6">
        <v>1938</v>
      </c>
      <c r="D587" s="2">
        <v>24</v>
      </c>
      <c r="E587" s="2" t="s">
        <v>24</v>
      </c>
      <c r="F587" s="2" t="s">
        <v>22</v>
      </c>
    </row>
    <row r="588" spans="1:6" x14ac:dyDescent="0.3">
      <c r="A588" s="2">
        <v>993</v>
      </c>
      <c r="B588" s="2">
        <v>23</v>
      </c>
      <c r="C588" s="6">
        <v>1936</v>
      </c>
      <c r="D588" s="2">
        <v>18</v>
      </c>
      <c r="E588" s="2" t="s">
        <v>24</v>
      </c>
      <c r="F588" s="2" t="s">
        <v>22</v>
      </c>
    </row>
    <row r="589" spans="1:6" x14ac:dyDescent="0.3">
      <c r="A589" s="2">
        <v>170</v>
      </c>
      <c r="B589" s="2">
        <v>31</v>
      </c>
      <c r="C589" s="6">
        <v>1935</v>
      </c>
      <c r="D589" s="2">
        <v>24</v>
      </c>
      <c r="E589" s="2" t="s">
        <v>23</v>
      </c>
      <c r="F589" s="2" t="s">
        <v>22</v>
      </c>
    </row>
    <row r="590" spans="1:6" x14ac:dyDescent="0.3">
      <c r="A590" s="2">
        <v>207</v>
      </c>
      <c r="B590" s="2">
        <v>43</v>
      </c>
      <c r="C590" s="6">
        <v>1935</v>
      </c>
      <c r="D590" s="2">
        <v>12</v>
      </c>
      <c r="E590" s="2" t="s">
        <v>26</v>
      </c>
      <c r="F590" s="2" t="s">
        <v>33</v>
      </c>
    </row>
    <row r="591" spans="1:6" x14ac:dyDescent="0.3">
      <c r="A591" s="2">
        <v>491</v>
      </c>
      <c r="B591" s="2">
        <v>26</v>
      </c>
      <c r="C591" s="6">
        <v>1934</v>
      </c>
      <c r="D591" s="2">
        <v>12</v>
      </c>
      <c r="E591" s="2" t="s">
        <v>24</v>
      </c>
      <c r="F591" s="2" t="s">
        <v>33</v>
      </c>
    </row>
    <row r="592" spans="1:6" x14ac:dyDescent="0.3">
      <c r="A592" s="2">
        <v>560</v>
      </c>
      <c r="B592" s="2">
        <v>31</v>
      </c>
      <c r="C592" s="6">
        <v>1928</v>
      </c>
      <c r="D592" s="2">
        <v>18</v>
      </c>
      <c r="E592" s="2" t="s">
        <v>26</v>
      </c>
      <c r="F592" s="2" t="s">
        <v>22</v>
      </c>
    </row>
    <row r="593" spans="1:6" x14ac:dyDescent="0.3">
      <c r="A593" s="2">
        <v>578</v>
      </c>
      <c r="B593" s="2">
        <v>33</v>
      </c>
      <c r="C593" s="6">
        <v>1927</v>
      </c>
      <c r="D593" s="2">
        <v>24</v>
      </c>
      <c r="E593" s="2" t="s">
        <v>28</v>
      </c>
      <c r="F593" s="2" t="s">
        <v>22</v>
      </c>
    </row>
    <row r="594" spans="1:6" x14ac:dyDescent="0.3">
      <c r="A594" s="2">
        <v>249</v>
      </c>
      <c r="B594" s="2">
        <v>26</v>
      </c>
      <c r="C594" s="6">
        <v>1925</v>
      </c>
      <c r="D594" s="2">
        <v>24</v>
      </c>
      <c r="E594" s="2" t="s">
        <v>26</v>
      </c>
      <c r="F594" s="2" t="s">
        <v>22</v>
      </c>
    </row>
    <row r="595" spans="1:6" x14ac:dyDescent="0.3">
      <c r="A595" s="2">
        <v>125</v>
      </c>
      <c r="B595" s="2">
        <v>27</v>
      </c>
      <c r="C595" s="6">
        <v>1924</v>
      </c>
      <c r="D595" s="2">
        <v>18</v>
      </c>
      <c r="E595" s="2" t="s">
        <v>26</v>
      </c>
      <c r="F595" s="2" t="s">
        <v>22</v>
      </c>
    </row>
    <row r="596" spans="1:6" x14ac:dyDescent="0.3">
      <c r="A596" s="2">
        <v>152</v>
      </c>
      <c r="B596" s="2">
        <v>38</v>
      </c>
      <c r="C596" s="6">
        <v>1924</v>
      </c>
      <c r="D596" s="2">
        <v>10</v>
      </c>
      <c r="E596" s="2" t="s">
        <v>24</v>
      </c>
      <c r="F596" s="2" t="s">
        <v>33</v>
      </c>
    </row>
    <row r="597" spans="1:6" x14ac:dyDescent="0.3">
      <c r="A597" s="2">
        <v>652</v>
      </c>
      <c r="B597" s="2">
        <v>37</v>
      </c>
      <c r="C597" s="6">
        <v>1922</v>
      </c>
      <c r="D597" s="2">
        <v>12</v>
      </c>
      <c r="E597" s="2" t="s">
        <v>26</v>
      </c>
      <c r="F597" s="2" t="s">
        <v>33</v>
      </c>
    </row>
    <row r="598" spans="1:6" x14ac:dyDescent="0.3">
      <c r="A598" s="2">
        <v>104</v>
      </c>
      <c r="B598" s="2">
        <v>35</v>
      </c>
      <c r="C598" s="6">
        <v>1919</v>
      </c>
      <c r="D598" s="2">
        <v>9</v>
      </c>
      <c r="E598" s="2" t="s">
        <v>26</v>
      </c>
      <c r="F598" s="2" t="s">
        <v>33</v>
      </c>
    </row>
    <row r="599" spans="1:6" x14ac:dyDescent="0.3">
      <c r="A599" s="2">
        <v>936</v>
      </c>
      <c r="B599" s="2">
        <v>30</v>
      </c>
      <c r="C599" s="6">
        <v>1919</v>
      </c>
      <c r="D599" s="2">
        <v>30</v>
      </c>
      <c r="E599" s="2" t="s">
        <v>24</v>
      </c>
      <c r="F599" s="2" t="s">
        <v>22</v>
      </c>
    </row>
    <row r="600" spans="1:6" x14ac:dyDescent="0.3">
      <c r="A600" s="2">
        <v>31</v>
      </c>
      <c r="B600" s="2">
        <v>36</v>
      </c>
      <c r="C600" s="6">
        <v>1913</v>
      </c>
      <c r="D600" s="2">
        <v>18</v>
      </c>
      <c r="E600" s="2" t="s">
        <v>23</v>
      </c>
      <c r="F600" s="2" t="s">
        <v>22</v>
      </c>
    </row>
    <row r="601" spans="1:6" x14ac:dyDescent="0.3">
      <c r="A601" s="2">
        <v>214</v>
      </c>
      <c r="B601" s="2">
        <v>66</v>
      </c>
      <c r="C601" s="6">
        <v>1908</v>
      </c>
      <c r="D601" s="2">
        <v>30</v>
      </c>
      <c r="E601" s="2" t="s">
        <v>23</v>
      </c>
      <c r="F601" s="2" t="s">
        <v>22</v>
      </c>
    </row>
    <row r="602" spans="1:6" x14ac:dyDescent="0.3">
      <c r="A602" s="2">
        <v>700</v>
      </c>
      <c r="B602" s="2">
        <v>40</v>
      </c>
      <c r="C602" s="6">
        <v>1905</v>
      </c>
      <c r="D602" s="2">
        <v>15</v>
      </c>
      <c r="E602" s="2" t="s">
        <v>28</v>
      </c>
      <c r="F602" s="2" t="s">
        <v>22</v>
      </c>
    </row>
    <row r="603" spans="1:6" x14ac:dyDescent="0.3">
      <c r="A603" s="2">
        <v>280</v>
      </c>
      <c r="B603" s="2">
        <v>29</v>
      </c>
      <c r="C603" s="6">
        <v>1901</v>
      </c>
      <c r="D603" s="2">
        <v>24</v>
      </c>
      <c r="E603" s="2" t="s">
        <v>24</v>
      </c>
      <c r="F603" s="2" t="s">
        <v>22</v>
      </c>
    </row>
    <row r="604" spans="1:6" x14ac:dyDescent="0.3">
      <c r="A604" s="2">
        <v>160</v>
      </c>
      <c r="B604" s="2">
        <v>34</v>
      </c>
      <c r="C604" s="6">
        <v>1898</v>
      </c>
      <c r="D604" s="2">
        <v>6</v>
      </c>
      <c r="E604" s="2" t="s">
        <v>24</v>
      </c>
      <c r="F604" s="2" t="s">
        <v>33</v>
      </c>
    </row>
    <row r="605" spans="1:6" x14ac:dyDescent="0.3">
      <c r="A605" s="2">
        <v>955</v>
      </c>
      <c r="B605" s="2">
        <v>29</v>
      </c>
      <c r="C605" s="6">
        <v>1893</v>
      </c>
      <c r="D605" s="2">
        <v>12</v>
      </c>
      <c r="E605" s="2" t="s">
        <v>25</v>
      </c>
      <c r="F605" s="2" t="s">
        <v>33</v>
      </c>
    </row>
    <row r="606" spans="1:6" x14ac:dyDescent="0.3">
      <c r="A606" s="2">
        <v>402</v>
      </c>
      <c r="B606" s="2">
        <v>28</v>
      </c>
      <c r="C606" s="6">
        <v>1887</v>
      </c>
      <c r="D606" s="2">
        <v>18</v>
      </c>
      <c r="E606" s="2" t="s">
        <v>23</v>
      </c>
      <c r="F606" s="2" t="s">
        <v>22</v>
      </c>
    </row>
    <row r="607" spans="1:6" x14ac:dyDescent="0.3">
      <c r="A607" s="2">
        <v>441</v>
      </c>
      <c r="B607" s="2">
        <v>39</v>
      </c>
      <c r="C607" s="6">
        <v>1884</v>
      </c>
      <c r="D607" s="2">
        <v>12</v>
      </c>
      <c r="E607" s="2" t="s">
        <v>25</v>
      </c>
      <c r="F607" s="2" t="s">
        <v>33</v>
      </c>
    </row>
    <row r="608" spans="1:6" x14ac:dyDescent="0.3">
      <c r="A608" s="2">
        <v>728</v>
      </c>
      <c r="B608" s="2">
        <v>25</v>
      </c>
      <c r="C608" s="6">
        <v>1882</v>
      </c>
      <c r="D608" s="2">
        <v>18</v>
      </c>
      <c r="E608" s="2" t="s">
        <v>24</v>
      </c>
      <c r="F608" s="2" t="s">
        <v>22</v>
      </c>
    </row>
    <row r="609" spans="1:6" x14ac:dyDescent="0.3">
      <c r="A609" s="2">
        <v>140</v>
      </c>
      <c r="B609" s="2">
        <v>44</v>
      </c>
      <c r="C609" s="6">
        <v>1881</v>
      </c>
      <c r="D609" s="2">
        <v>12</v>
      </c>
      <c r="E609" s="2" t="s">
        <v>24</v>
      </c>
      <c r="F609" s="2" t="s">
        <v>33</v>
      </c>
    </row>
    <row r="610" spans="1:6" x14ac:dyDescent="0.3">
      <c r="A610" s="2">
        <v>645</v>
      </c>
      <c r="B610" s="2">
        <v>32</v>
      </c>
      <c r="C610" s="6">
        <v>1880</v>
      </c>
      <c r="D610" s="2">
        <v>18</v>
      </c>
      <c r="E610" s="2" t="s">
        <v>24</v>
      </c>
      <c r="F610" s="2" t="s">
        <v>22</v>
      </c>
    </row>
    <row r="611" spans="1:6" x14ac:dyDescent="0.3">
      <c r="A611" s="2">
        <v>433</v>
      </c>
      <c r="B611" s="2">
        <v>36</v>
      </c>
      <c r="C611" s="6">
        <v>1872</v>
      </c>
      <c r="D611" s="2">
        <v>6</v>
      </c>
      <c r="E611" s="2" t="s">
        <v>26</v>
      </c>
      <c r="F611" s="2" t="s">
        <v>33</v>
      </c>
    </row>
    <row r="612" spans="1:6" x14ac:dyDescent="0.3">
      <c r="A612" s="2">
        <v>929</v>
      </c>
      <c r="B612" s="2">
        <v>58</v>
      </c>
      <c r="C612" s="6">
        <v>1867</v>
      </c>
      <c r="D612" s="2">
        <v>30</v>
      </c>
      <c r="E612" s="2" t="s">
        <v>24</v>
      </c>
      <c r="F612" s="2" t="s">
        <v>22</v>
      </c>
    </row>
    <row r="613" spans="1:6" x14ac:dyDescent="0.3">
      <c r="A613" s="2">
        <v>332</v>
      </c>
      <c r="B613" s="2">
        <v>30</v>
      </c>
      <c r="C613" s="6">
        <v>1864</v>
      </c>
      <c r="D613" s="2">
        <v>18</v>
      </c>
      <c r="E613" s="2" t="s">
        <v>28</v>
      </c>
      <c r="F613" s="2" t="s">
        <v>22</v>
      </c>
    </row>
    <row r="614" spans="1:6" x14ac:dyDescent="0.3">
      <c r="A614" s="2">
        <v>129</v>
      </c>
      <c r="B614" s="2">
        <v>34</v>
      </c>
      <c r="C614" s="6">
        <v>1860</v>
      </c>
      <c r="D614" s="2">
        <v>12</v>
      </c>
      <c r="E614" s="2" t="s">
        <v>27</v>
      </c>
      <c r="F614" s="2" t="s">
        <v>33</v>
      </c>
    </row>
    <row r="615" spans="1:6" x14ac:dyDescent="0.3">
      <c r="A615" s="2">
        <v>624</v>
      </c>
      <c r="B615" s="2">
        <v>22</v>
      </c>
      <c r="C615" s="6">
        <v>1858</v>
      </c>
      <c r="D615" s="2">
        <v>12</v>
      </c>
      <c r="E615" s="2" t="s">
        <v>26</v>
      </c>
      <c r="F615" s="2" t="s">
        <v>33</v>
      </c>
    </row>
    <row r="616" spans="1:6" x14ac:dyDescent="0.3">
      <c r="A616" s="2">
        <v>644</v>
      </c>
      <c r="B616" s="2">
        <v>33</v>
      </c>
      <c r="C616" s="6">
        <v>1851</v>
      </c>
      <c r="D616" s="2">
        <v>24</v>
      </c>
      <c r="E616" s="2" t="s">
        <v>24</v>
      </c>
      <c r="F616" s="2" t="s">
        <v>22</v>
      </c>
    </row>
    <row r="617" spans="1:6" x14ac:dyDescent="0.3">
      <c r="A617" s="2">
        <v>945</v>
      </c>
      <c r="B617" s="2">
        <v>46</v>
      </c>
      <c r="C617" s="6">
        <v>1845</v>
      </c>
      <c r="D617" s="2">
        <v>15</v>
      </c>
      <c r="E617" s="2" t="s">
        <v>26</v>
      </c>
      <c r="F617" s="2" t="s">
        <v>22</v>
      </c>
    </row>
    <row r="618" spans="1:6" x14ac:dyDescent="0.3">
      <c r="A618" s="2">
        <v>999</v>
      </c>
      <c r="B618" s="2">
        <v>23</v>
      </c>
      <c r="C618" s="6">
        <v>1845</v>
      </c>
      <c r="D618" s="2">
        <v>45</v>
      </c>
      <c r="E618" s="2" t="s">
        <v>24</v>
      </c>
      <c r="F618" s="2" t="s">
        <v>22</v>
      </c>
    </row>
    <row r="619" spans="1:6" x14ac:dyDescent="0.3">
      <c r="A619" s="2">
        <v>447</v>
      </c>
      <c r="B619" s="2">
        <v>34</v>
      </c>
      <c r="C619" s="6">
        <v>1842</v>
      </c>
      <c r="D619" s="2">
        <v>36</v>
      </c>
      <c r="E619" s="2" t="s">
        <v>25</v>
      </c>
      <c r="F619" s="2" t="s">
        <v>22</v>
      </c>
    </row>
    <row r="620" spans="1:6" x14ac:dyDescent="0.3">
      <c r="A620" s="2">
        <v>603</v>
      </c>
      <c r="B620" s="2">
        <v>34</v>
      </c>
      <c r="C620" s="6">
        <v>1837</v>
      </c>
      <c r="D620" s="2">
        <v>24</v>
      </c>
      <c r="E620" s="2" t="s">
        <v>28</v>
      </c>
      <c r="F620" s="2" t="s">
        <v>22</v>
      </c>
    </row>
    <row r="621" spans="1:6" x14ac:dyDescent="0.3">
      <c r="A621" s="2">
        <v>121</v>
      </c>
      <c r="B621" s="2">
        <v>25</v>
      </c>
      <c r="C621" s="6">
        <v>1835</v>
      </c>
      <c r="D621" s="2">
        <v>21</v>
      </c>
      <c r="E621" s="2" t="s">
        <v>24</v>
      </c>
      <c r="F621" s="2" t="s">
        <v>22</v>
      </c>
    </row>
    <row r="622" spans="1:6" x14ac:dyDescent="0.3">
      <c r="A622" s="2">
        <v>892</v>
      </c>
      <c r="B622" s="2">
        <v>46</v>
      </c>
      <c r="C622" s="6">
        <v>1829</v>
      </c>
      <c r="D622" s="2">
        <v>15</v>
      </c>
      <c r="E622" s="2" t="s">
        <v>24</v>
      </c>
      <c r="F622" s="2" t="s">
        <v>22</v>
      </c>
    </row>
    <row r="623" spans="1:6" x14ac:dyDescent="0.3">
      <c r="A623" s="2">
        <v>236</v>
      </c>
      <c r="B623" s="2">
        <v>30</v>
      </c>
      <c r="C623" s="6">
        <v>1823</v>
      </c>
      <c r="D623" s="2">
        <v>24</v>
      </c>
      <c r="E623" s="2" t="s">
        <v>24</v>
      </c>
      <c r="F623" s="2" t="s">
        <v>22</v>
      </c>
    </row>
    <row r="624" spans="1:6" x14ac:dyDescent="0.3">
      <c r="A624" s="2">
        <v>391</v>
      </c>
      <c r="B624" s="2">
        <v>30</v>
      </c>
      <c r="C624" s="6">
        <v>1820</v>
      </c>
      <c r="D624" s="2">
        <v>18</v>
      </c>
      <c r="E624" s="2" t="s">
        <v>25</v>
      </c>
      <c r="F624" s="2" t="s">
        <v>22</v>
      </c>
    </row>
    <row r="625" spans="1:6" x14ac:dyDescent="0.3">
      <c r="A625" s="2">
        <v>69</v>
      </c>
      <c r="B625" s="2">
        <v>37</v>
      </c>
      <c r="C625" s="6">
        <v>1819</v>
      </c>
      <c r="D625" s="2">
        <v>36</v>
      </c>
      <c r="E625" s="2" t="s">
        <v>28</v>
      </c>
      <c r="F625" s="2" t="s">
        <v>22</v>
      </c>
    </row>
    <row r="626" spans="1:6" x14ac:dyDescent="0.3">
      <c r="A626" s="2">
        <v>921</v>
      </c>
      <c r="B626" s="2">
        <v>28</v>
      </c>
      <c r="C626" s="6">
        <v>1817</v>
      </c>
      <c r="D626" s="2">
        <v>18</v>
      </c>
      <c r="E626" s="2" t="s">
        <v>26</v>
      </c>
      <c r="F626" s="2" t="s">
        <v>22</v>
      </c>
    </row>
    <row r="627" spans="1:6" x14ac:dyDescent="0.3">
      <c r="A627" s="2">
        <v>615</v>
      </c>
      <c r="B627" s="2">
        <v>22</v>
      </c>
      <c r="C627" s="6">
        <v>1808</v>
      </c>
      <c r="D627" s="2">
        <v>18</v>
      </c>
      <c r="E627" s="2" t="s">
        <v>26</v>
      </c>
      <c r="F627" s="2" t="s">
        <v>22</v>
      </c>
    </row>
    <row r="628" spans="1:6" x14ac:dyDescent="0.3">
      <c r="A628" s="2">
        <v>24</v>
      </c>
      <c r="B628" s="2">
        <v>44</v>
      </c>
      <c r="C628" s="6">
        <v>1804</v>
      </c>
      <c r="D628" s="2">
        <v>12</v>
      </c>
      <c r="E628" s="2" t="s">
        <v>27</v>
      </c>
      <c r="F628" s="2" t="s">
        <v>33</v>
      </c>
    </row>
    <row r="629" spans="1:6" x14ac:dyDescent="0.3">
      <c r="A629" s="2">
        <v>699</v>
      </c>
      <c r="B629" s="2">
        <v>24</v>
      </c>
      <c r="C629" s="6">
        <v>1800</v>
      </c>
      <c r="D629" s="2">
        <v>18</v>
      </c>
      <c r="E629" s="2" t="s">
        <v>24</v>
      </c>
      <c r="F629" s="2" t="s">
        <v>22</v>
      </c>
    </row>
    <row r="630" spans="1:6" x14ac:dyDescent="0.3">
      <c r="A630" s="2">
        <v>746</v>
      </c>
      <c r="B630" s="2">
        <v>28</v>
      </c>
      <c r="C630" s="6">
        <v>1797</v>
      </c>
      <c r="D630" s="2">
        <v>13</v>
      </c>
      <c r="E630" s="2" t="s">
        <v>23</v>
      </c>
      <c r="F630" s="2" t="s">
        <v>22</v>
      </c>
    </row>
    <row r="631" spans="1:6" x14ac:dyDescent="0.3">
      <c r="A631" s="2">
        <v>802</v>
      </c>
      <c r="B631" s="2">
        <v>48</v>
      </c>
      <c r="C631" s="6">
        <v>1795</v>
      </c>
      <c r="D631" s="2">
        <v>18</v>
      </c>
      <c r="E631" s="2" t="s">
        <v>24</v>
      </c>
      <c r="F631" s="2" t="s">
        <v>22</v>
      </c>
    </row>
    <row r="632" spans="1:6" x14ac:dyDescent="0.3">
      <c r="A632" s="2">
        <v>810</v>
      </c>
      <c r="B632" s="2">
        <v>26</v>
      </c>
      <c r="C632" s="6">
        <v>1778</v>
      </c>
      <c r="D632" s="2">
        <v>15</v>
      </c>
      <c r="E632" s="2" t="s">
        <v>25</v>
      </c>
      <c r="F632" s="2" t="s">
        <v>22</v>
      </c>
    </row>
    <row r="633" spans="1:6" x14ac:dyDescent="0.3">
      <c r="A633" s="2">
        <v>123</v>
      </c>
      <c r="B633" s="2">
        <v>24</v>
      </c>
      <c r="C633" s="6">
        <v>1768</v>
      </c>
      <c r="D633" s="2">
        <v>12</v>
      </c>
      <c r="E633" s="2" t="s">
        <v>26</v>
      </c>
      <c r="F633" s="2" t="s">
        <v>33</v>
      </c>
    </row>
    <row r="634" spans="1:6" x14ac:dyDescent="0.3">
      <c r="A634" s="2">
        <v>364</v>
      </c>
      <c r="B634" s="2">
        <v>21</v>
      </c>
      <c r="C634" s="6">
        <v>1766</v>
      </c>
      <c r="D634" s="2">
        <v>6</v>
      </c>
      <c r="E634" s="2" t="s">
        <v>26</v>
      </c>
      <c r="F634" s="2" t="s">
        <v>33</v>
      </c>
    </row>
    <row r="635" spans="1:6" x14ac:dyDescent="0.3">
      <c r="A635" s="2">
        <v>84</v>
      </c>
      <c r="B635" s="2">
        <v>58</v>
      </c>
      <c r="C635" s="6">
        <v>1755</v>
      </c>
      <c r="D635" s="2">
        <v>24</v>
      </c>
      <c r="E635" s="2" t="s">
        <v>21</v>
      </c>
      <c r="F635" s="2" t="s">
        <v>22</v>
      </c>
    </row>
    <row r="636" spans="1:6" x14ac:dyDescent="0.3">
      <c r="A636" s="2">
        <v>552</v>
      </c>
      <c r="B636" s="2">
        <v>45</v>
      </c>
      <c r="C636" s="6">
        <v>1750</v>
      </c>
      <c r="D636" s="2">
        <v>6</v>
      </c>
      <c r="E636" s="2" t="s">
        <v>24</v>
      </c>
      <c r="F636" s="2" t="s">
        <v>33</v>
      </c>
    </row>
    <row r="637" spans="1:6" x14ac:dyDescent="0.3">
      <c r="A637" s="2">
        <v>931</v>
      </c>
      <c r="B637" s="2">
        <v>24</v>
      </c>
      <c r="C637" s="6">
        <v>1747</v>
      </c>
      <c r="D637" s="2">
        <v>24</v>
      </c>
      <c r="E637" s="2" t="s">
        <v>26</v>
      </c>
      <c r="F637" s="2" t="s">
        <v>22</v>
      </c>
    </row>
    <row r="638" spans="1:6" x14ac:dyDescent="0.3">
      <c r="A638" s="2">
        <v>349</v>
      </c>
      <c r="B638" s="2">
        <v>34</v>
      </c>
      <c r="C638" s="6">
        <v>1743</v>
      </c>
      <c r="D638" s="2">
        <v>6</v>
      </c>
      <c r="E638" s="2" t="s">
        <v>23</v>
      </c>
      <c r="F638" s="2" t="s">
        <v>33</v>
      </c>
    </row>
    <row r="639" spans="1:6" x14ac:dyDescent="0.3">
      <c r="A639" s="2">
        <v>990</v>
      </c>
      <c r="B639" s="2">
        <v>48</v>
      </c>
      <c r="C639" s="6">
        <v>1743</v>
      </c>
      <c r="D639" s="2">
        <v>24</v>
      </c>
      <c r="E639" s="2" t="s">
        <v>24</v>
      </c>
      <c r="F639" s="2" t="s">
        <v>22</v>
      </c>
    </row>
    <row r="640" spans="1:6" x14ac:dyDescent="0.3">
      <c r="A640" s="2">
        <v>961</v>
      </c>
      <c r="B640" s="2">
        <v>30</v>
      </c>
      <c r="C640" s="6">
        <v>1740</v>
      </c>
      <c r="D640" s="2">
        <v>6</v>
      </c>
      <c r="E640" s="2" t="s">
        <v>24</v>
      </c>
      <c r="F640" s="2" t="s">
        <v>33</v>
      </c>
    </row>
    <row r="641" spans="1:6" x14ac:dyDescent="0.3">
      <c r="A641" s="2">
        <v>996</v>
      </c>
      <c r="B641" s="2">
        <v>31</v>
      </c>
      <c r="C641" s="6">
        <v>1736</v>
      </c>
      <c r="D641" s="2">
        <v>12</v>
      </c>
      <c r="E641" s="2" t="s">
        <v>26</v>
      </c>
      <c r="F641" s="2" t="s">
        <v>33</v>
      </c>
    </row>
    <row r="642" spans="1:6" x14ac:dyDescent="0.3">
      <c r="A642" s="2">
        <v>462</v>
      </c>
      <c r="B642" s="2">
        <v>36</v>
      </c>
      <c r="C642" s="6">
        <v>1721</v>
      </c>
      <c r="D642" s="2">
        <v>15</v>
      </c>
      <c r="E642" s="2" t="s">
        <v>25</v>
      </c>
      <c r="F642" s="2" t="s">
        <v>22</v>
      </c>
    </row>
    <row r="643" spans="1:6" x14ac:dyDescent="0.3">
      <c r="A643" s="2">
        <v>966</v>
      </c>
      <c r="B643" s="2">
        <v>26</v>
      </c>
      <c r="C643" s="6">
        <v>1715</v>
      </c>
      <c r="D643" s="2">
        <v>30</v>
      </c>
      <c r="E643" s="2" t="s">
        <v>24</v>
      </c>
      <c r="F643" s="2" t="s">
        <v>22</v>
      </c>
    </row>
    <row r="644" spans="1:6" x14ac:dyDescent="0.3">
      <c r="A644" s="2">
        <v>115</v>
      </c>
      <c r="B644" s="2">
        <v>35</v>
      </c>
      <c r="C644" s="6">
        <v>1680</v>
      </c>
      <c r="D644" s="2">
        <v>12</v>
      </c>
      <c r="E644" s="2" t="s">
        <v>24</v>
      </c>
      <c r="F644" s="2" t="s">
        <v>33</v>
      </c>
    </row>
    <row r="645" spans="1:6" x14ac:dyDescent="0.3">
      <c r="A645" s="2">
        <v>932</v>
      </c>
      <c r="B645" s="2">
        <v>22</v>
      </c>
      <c r="C645" s="6">
        <v>1670</v>
      </c>
      <c r="D645" s="2">
        <v>9</v>
      </c>
      <c r="E645" s="2" t="s">
        <v>24</v>
      </c>
      <c r="F645" s="2" t="s">
        <v>33</v>
      </c>
    </row>
    <row r="646" spans="1:6" x14ac:dyDescent="0.3">
      <c r="A646" s="2">
        <v>467</v>
      </c>
      <c r="B646" s="2">
        <v>29</v>
      </c>
      <c r="C646" s="6">
        <v>1659</v>
      </c>
      <c r="D646" s="2">
        <v>24</v>
      </c>
      <c r="E646" s="2" t="s">
        <v>24</v>
      </c>
      <c r="F646" s="2" t="s">
        <v>22</v>
      </c>
    </row>
    <row r="647" spans="1:6" x14ac:dyDescent="0.3">
      <c r="A647" s="2">
        <v>261</v>
      </c>
      <c r="B647" s="2">
        <v>27</v>
      </c>
      <c r="C647" s="6">
        <v>1657</v>
      </c>
      <c r="D647" s="2">
        <v>12</v>
      </c>
      <c r="E647" s="2" t="s">
        <v>26</v>
      </c>
      <c r="F647" s="2" t="s">
        <v>33</v>
      </c>
    </row>
    <row r="648" spans="1:6" x14ac:dyDescent="0.3">
      <c r="A648" s="2">
        <v>770</v>
      </c>
      <c r="B648" s="2">
        <v>63</v>
      </c>
      <c r="C648" s="6">
        <v>1655</v>
      </c>
      <c r="D648" s="2">
        <v>12</v>
      </c>
      <c r="E648" s="2" t="s">
        <v>24</v>
      </c>
      <c r="F648" s="2" t="s">
        <v>33</v>
      </c>
    </row>
    <row r="649" spans="1:6" x14ac:dyDescent="0.3">
      <c r="A649" s="2">
        <v>183</v>
      </c>
      <c r="B649" s="2">
        <v>40</v>
      </c>
      <c r="C649" s="6">
        <v>1647</v>
      </c>
      <c r="D649" s="2">
        <v>21</v>
      </c>
      <c r="E649" s="2" t="s">
        <v>25</v>
      </c>
      <c r="F649" s="2" t="s">
        <v>22</v>
      </c>
    </row>
    <row r="650" spans="1:6" x14ac:dyDescent="0.3">
      <c r="A650" s="2">
        <v>442</v>
      </c>
      <c r="B650" s="2">
        <v>30</v>
      </c>
      <c r="C650" s="6">
        <v>1620</v>
      </c>
      <c r="D650" s="2">
        <v>12</v>
      </c>
      <c r="E650" s="2" t="s">
        <v>26</v>
      </c>
      <c r="F650" s="2" t="s">
        <v>33</v>
      </c>
    </row>
    <row r="651" spans="1:6" x14ac:dyDescent="0.3">
      <c r="A651" s="2">
        <v>262</v>
      </c>
      <c r="B651" s="2">
        <v>55</v>
      </c>
      <c r="C651" s="6">
        <v>1603</v>
      </c>
      <c r="D651" s="2">
        <v>24</v>
      </c>
      <c r="E651" s="2" t="s">
        <v>24</v>
      </c>
      <c r="F651" s="2" t="s">
        <v>22</v>
      </c>
    </row>
    <row r="652" spans="1:6" x14ac:dyDescent="0.3">
      <c r="A652" s="2">
        <v>826</v>
      </c>
      <c r="B652" s="2">
        <v>30</v>
      </c>
      <c r="C652" s="6">
        <v>1602</v>
      </c>
      <c r="D652" s="2">
        <v>21</v>
      </c>
      <c r="E652" s="2" t="s">
        <v>25</v>
      </c>
      <c r="F652" s="2" t="s">
        <v>22</v>
      </c>
    </row>
    <row r="653" spans="1:6" x14ac:dyDescent="0.3">
      <c r="A653" s="2">
        <v>414</v>
      </c>
      <c r="B653" s="2">
        <v>40</v>
      </c>
      <c r="C653" s="6">
        <v>1597</v>
      </c>
      <c r="D653" s="2">
        <v>10</v>
      </c>
      <c r="E653" s="2" t="s">
        <v>25</v>
      </c>
      <c r="F653" s="2" t="s">
        <v>33</v>
      </c>
    </row>
    <row r="654" spans="1:6" x14ac:dyDescent="0.3">
      <c r="A654" s="2">
        <v>801</v>
      </c>
      <c r="B654" s="2">
        <v>54</v>
      </c>
      <c r="C654" s="6">
        <v>1597</v>
      </c>
      <c r="D654" s="2">
        <v>24</v>
      </c>
      <c r="E654" s="2" t="s">
        <v>28</v>
      </c>
      <c r="F654" s="2" t="s">
        <v>22</v>
      </c>
    </row>
    <row r="655" spans="1:6" x14ac:dyDescent="0.3">
      <c r="A655" s="2">
        <v>242</v>
      </c>
      <c r="B655" s="2">
        <v>51</v>
      </c>
      <c r="C655" s="6">
        <v>1595</v>
      </c>
      <c r="D655" s="2">
        <v>6</v>
      </c>
      <c r="E655" s="2" t="s">
        <v>24</v>
      </c>
      <c r="F655" s="2" t="s">
        <v>33</v>
      </c>
    </row>
    <row r="656" spans="1:6" x14ac:dyDescent="0.3">
      <c r="A656" s="2">
        <v>898</v>
      </c>
      <c r="B656" s="2">
        <v>35</v>
      </c>
      <c r="C656" s="6">
        <v>1592</v>
      </c>
      <c r="D656" s="2">
        <v>12</v>
      </c>
      <c r="E656" s="2" t="s">
        <v>26</v>
      </c>
      <c r="F656" s="2" t="s">
        <v>33</v>
      </c>
    </row>
    <row r="657" spans="1:6" x14ac:dyDescent="0.3">
      <c r="A657" s="2">
        <v>424</v>
      </c>
      <c r="B657" s="2">
        <v>34</v>
      </c>
      <c r="C657" s="6">
        <v>1591</v>
      </c>
      <c r="D657" s="2">
        <v>21</v>
      </c>
      <c r="E657" s="2" t="s">
        <v>26</v>
      </c>
      <c r="F657" s="2" t="s">
        <v>22</v>
      </c>
    </row>
    <row r="658" spans="1:6" x14ac:dyDescent="0.3">
      <c r="A658" s="2">
        <v>498</v>
      </c>
      <c r="B658" s="2">
        <v>40</v>
      </c>
      <c r="C658" s="6">
        <v>1585</v>
      </c>
      <c r="D658" s="2">
        <v>24</v>
      </c>
      <c r="E658" s="2" t="s">
        <v>26</v>
      </c>
      <c r="F658" s="2" t="s">
        <v>22</v>
      </c>
    </row>
    <row r="659" spans="1:6" x14ac:dyDescent="0.3">
      <c r="A659" s="2">
        <v>150</v>
      </c>
      <c r="B659" s="2">
        <v>46</v>
      </c>
      <c r="C659" s="6">
        <v>1582</v>
      </c>
      <c r="D659" s="2">
        <v>18</v>
      </c>
      <c r="E659" s="2" t="s">
        <v>24</v>
      </c>
      <c r="F659" s="2" t="s">
        <v>22</v>
      </c>
    </row>
    <row r="660" spans="1:6" x14ac:dyDescent="0.3">
      <c r="A660" s="2">
        <v>168</v>
      </c>
      <c r="B660" s="2">
        <v>20</v>
      </c>
      <c r="C660" s="6">
        <v>1577</v>
      </c>
      <c r="D660" s="2">
        <v>11</v>
      </c>
      <c r="E660" s="2" t="s">
        <v>26</v>
      </c>
      <c r="F660" s="2" t="s">
        <v>33</v>
      </c>
    </row>
    <row r="661" spans="1:6" x14ac:dyDescent="0.3">
      <c r="A661" s="2">
        <v>282</v>
      </c>
      <c r="B661" s="2">
        <v>50</v>
      </c>
      <c r="C661" s="6">
        <v>1574</v>
      </c>
      <c r="D661" s="2">
        <v>12</v>
      </c>
      <c r="E661" s="2" t="s">
        <v>26</v>
      </c>
      <c r="F661" s="2" t="s">
        <v>33</v>
      </c>
    </row>
    <row r="662" spans="1:6" x14ac:dyDescent="0.3">
      <c r="A662" s="2">
        <v>593</v>
      </c>
      <c r="B662" s="2">
        <v>36</v>
      </c>
      <c r="C662" s="6">
        <v>1572</v>
      </c>
      <c r="D662" s="2">
        <v>21</v>
      </c>
      <c r="E662" s="2" t="s">
        <v>23</v>
      </c>
      <c r="F662" s="2" t="s">
        <v>22</v>
      </c>
    </row>
    <row r="663" spans="1:6" x14ac:dyDescent="0.3">
      <c r="A663" s="2">
        <v>992</v>
      </c>
      <c r="B663" s="2">
        <v>34</v>
      </c>
      <c r="C663" s="6">
        <v>1569</v>
      </c>
      <c r="D663" s="2">
        <v>15</v>
      </c>
      <c r="E663" s="2" t="s">
        <v>24</v>
      </c>
      <c r="F663" s="2" t="s">
        <v>22</v>
      </c>
    </row>
    <row r="664" spans="1:6" x14ac:dyDescent="0.3">
      <c r="A664" s="2">
        <v>83</v>
      </c>
      <c r="B664" s="2">
        <v>24</v>
      </c>
      <c r="C664" s="6">
        <v>1568</v>
      </c>
      <c r="D664" s="2">
        <v>18</v>
      </c>
      <c r="E664" s="2" t="s">
        <v>23</v>
      </c>
      <c r="F664" s="2" t="s">
        <v>22</v>
      </c>
    </row>
    <row r="665" spans="1:6" x14ac:dyDescent="0.3">
      <c r="A665" s="2">
        <v>13</v>
      </c>
      <c r="B665" s="2">
        <v>22</v>
      </c>
      <c r="C665" s="6">
        <v>1567</v>
      </c>
      <c r="D665" s="2">
        <v>12</v>
      </c>
      <c r="E665" s="2" t="s">
        <v>24</v>
      </c>
      <c r="F665" s="2" t="s">
        <v>33</v>
      </c>
    </row>
    <row r="666" spans="1:6" x14ac:dyDescent="0.3">
      <c r="A666" s="2">
        <v>844</v>
      </c>
      <c r="B666" s="2">
        <v>50</v>
      </c>
      <c r="C666" s="6">
        <v>1559</v>
      </c>
      <c r="D666" s="2">
        <v>24</v>
      </c>
      <c r="E666" s="2" t="s">
        <v>23</v>
      </c>
      <c r="F666" s="2" t="s">
        <v>22</v>
      </c>
    </row>
    <row r="667" spans="1:6" x14ac:dyDescent="0.3">
      <c r="A667" s="2">
        <v>755</v>
      </c>
      <c r="B667" s="2">
        <v>55</v>
      </c>
      <c r="C667" s="6">
        <v>1555</v>
      </c>
      <c r="D667" s="2">
        <v>12</v>
      </c>
      <c r="E667" s="2" t="s">
        <v>29</v>
      </c>
      <c r="F667" s="2" t="s">
        <v>33</v>
      </c>
    </row>
    <row r="668" spans="1:6" x14ac:dyDescent="0.3">
      <c r="A668" s="2">
        <v>818</v>
      </c>
      <c r="B668" s="2">
        <v>24</v>
      </c>
      <c r="C668" s="6">
        <v>1554</v>
      </c>
      <c r="D668" s="2">
        <v>6</v>
      </c>
      <c r="E668" s="2" t="s">
        <v>24</v>
      </c>
      <c r="F668" s="2" t="s">
        <v>33</v>
      </c>
    </row>
    <row r="669" spans="1:6" x14ac:dyDescent="0.3">
      <c r="A669" s="2">
        <v>566</v>
      </c>
      <c r="B669" s="2">
        <v>23</v>
      </c>
      <c r="C669" s="6">
        <v>1553</v>
      </c>
      <c r="D669" s="2">
        <v>24</v>
      </c>
      <c r="E669" s="2" t="s">
        <v>24</v>
      </c>
      <c r="F669" s="2" t="s">
        <v>22</v>
      </c>
    </row>
    <row r="670" spans="1:6" x14ac:dyDescent="0.3">
      <c r="A670" s="2">
        <v>632</v>
      </c>
      <c r="B670" s="2">
        <v>44</v>
      </c>
      <c r="C670" s="6">
        <v>1553</v>
      </c>
      <c r="D670" s="2">
        <v>18</v>
      </c>
      <c r="E670" s="2" t="s">
        <v>26</v>
      </c>
      <c r="F670" s="2" t="s">
        <v>22</v>
      </c>
    </row>
    <row r="671" spans="1:6" x14ac:dyDescent="0.3">
      <c r="A671" s="2">
        <v>548</v>
      </c>
      <c r="B671" s="2">
        <v>32</v>
      </c>
      <c r="C671" s="6">
        <v>1552</v>
      </c>
      <c r="D671" s="2">
        <v>24</v>
      </c>
      <c r="E671" s="2" t="s">
        <v>24</v>
      </c>
      <c r="F671" s="2" t="s">
        <v>22</v>
      </c>
    </row>
    <row r="672" spans="1:6" x14ac:dyDescent="0.3">
      <c r="A672" s="2">
        <v>800</v>
      </c>
      <c r="B672" s="2">
        <v>35</v>
      </c>
      <c r="C672" s="6">
        <v>1549</v>
      </c>
      <c r="D672" s="2">
        <v>9</v>
      </c>
      <c r="E672" s="2" t="s">
        <v>25</v>
      </c>
      <c r="F672" s="2" t="s">
        <v>33</v>
      </c>
    </row>
    <row r="673" spans="1:6" x14ac:dyDescent="0.3">
      <c r="A673" s="2">
        <v>562</v>
      </c>
      <c r="B673" s="2">
        <v>24</v>
      </c>
      <c r="C673" s="6">
        <v>1546</v>
      </c>
      <c r="D673" s="2">
        <v>24</v>
      </c>
      <c r="E673" s="2" t="s">
        <v>24</v>
      </c>
      <c r="F673" s="2" t="s">
        <v>22</v>
      </c>
    </row>
    <row r="674" spans="1:6" x14ac:dyDescent="0.3">
      <c r="A674" s="2">
        <v>942</v>
      </c>
      <c r="B674" s="2">
        <v>31</v>
      </c>
      <c r="C674" s="6">
        <v>1546</v>
      </c>
      <c r="D674" s="2">
        <v>10</v>
      </c>
      <c r="E674" s="2" t="s">
        <v>25</v>
      </c>
      <c r="F674" s="2" t="s">
        <v>33</v>
      </c>
    </row>
    <row r="675" spans="1:6" x14ac:dyDescent="0.3">
      <c r="A675" s="2">
        <v>235</v>
      </c>
      <c r="B675" s="2">
        <v>42</v>
      </c>
      <c r="C675" s="6">
        <v>1544</v>
      </c>
      <c r="D675" s="2">
        <v>4</v>
      </c>
      <c r="E675" s="2" t="s">
        <v>24</v>
      </c>
      <c r="F675" s="2" t="s">
        <v>33</v>
      </c>
    </row>
    <row r="676" spans="1:6" x14ac:dyDescent="0.3">
      <c r="A676" s="2">
        <v>306</v>
      </c>
      <c r="B676" s="2">
        <v>33</v>
      </c>
      <c r="C676" s="6">
        <v>1543</v>
      </c>
      <c r="D676" s="2">
        <v>6</v>
      </c>
      <c r="E676" s="2" t="s">
        <v>26</v>
      </c>
      <c r="F676" s="2" t="s">
        <v>33</v>
      </c>
    </row>
    <row r="677" spans="1:6" x14ac:dyDescent="0.3">
      <c r="A677" s="2">
        <v>366</v>
      </c>
      <c r="B677" s="2">
        <v>36</v>
      </c>
      <c r="C677" s="6">
        <v>1542</v>
      </c>
      <c r="D677" s="2">
        <v>12</v>
      </c>
      <c r="E677" s="2" t="s">
        <v>23</v>
      </c>
      <c r="F677" s="2" t="s">
        <v>33</v>
      </c>
    </row>
    <row r="678" spans="1:6" x14ac:dyDescent="0.3">
      <c r="A678" s="2">
        <v>681</v>
      </c>
      <c r="B678" s="2">
        <v>56</v>
      </c>
      <c r="C678" s="6">
        <v>1538</v>
      </c>
      <c r="D678" s="2">
        <v>6</v>
      </c>
      <c r="E678" s="2" t="s">
        <v>28</v>
      </c>
      <c r="F678" s="2" t="s">
        <v>33</v>
      </c>
    </row>
    <row r="679" spans="1:6" x14ac:dyDescent="0.3">
      <c r="A679" s="2">
        <v>62</v>
      </c>
      <c r="B679" s="2">
        <v>50</v>
      </c>
      <c r="C679" s="6">
        <v>1537</v>
      </c>
      <c r="D679" s="2">
        <v>15</v>
      </c>
      <c r="E679" s="2" t="s">
        <v>24</v>
      </c>
      <c r="F679" s="2" t="s">
        <v>22</v>
      </c>
    </row>
    <row r="680" spans="1:6" x14ac:dyDescent="0.3">
      <c r="A680" s="2">
        <v>541</v>
      </c>
      <c r="B680" s="2">
        <v>23</v>
      </c>
      <c r="C680" s="6">
        <v>1534</v>
      </c>
      <c r="D680" s="2">
        <v>12</v>
      </c>
      <c r="E680" s="2" t="s">
        <v>24</v>
      </c>
      <c r="F680" s="2" t="s">
        <v>33</v>
      </c>
    </row>
    <row r="681" spans="1:6" x14ac:dyDescent="0.3">
      <c r="A681" s="2">
        <v>268</v>
      </c>
      <c r="B681" s="2">
        <v>38</v>
      </c>
      <c r="C681" s="6">
        <v>1533</v>
      </c>
      <c r="D681" s="2">
        <v>24</v>
      </c>
      <c r="E681" s="2" t="s">
        <v>24</v>
      </c>
      <c r="F681" s="2" t="s">
        <v>22</v>
      </c>
    </row>
    <row r="682" spans="1:6" x14ac:dyDescent="0.3">
      <c r="A682" s="2">
        <v>949</v>
      </c>
      <c r="B682" s="2">
        <v>43</v>
      </c>
      <c r="C682" s="6">
        <v>1533</v>
      </c>
      <c r="D682" s="2">
        <v>18</v>
      </c>
      <c r="E682" s="2" t="s">
        <v>26</v>
      </c>
      <c r="F682" s="2" t="s">
        <v>22</v>
      </c>
    </row>
    <row r="683" spans="1:6" x14ac:dyDescent="0.3">
      <c r="A683" s="2">
        <v>527</v>
      </c>
      <c r="B683" s="2">
        <v>31</v>
      </c>
      <c r="C683" s="6">
        <v>1532</v>
      </c>
      <c r="D683" s="2">
        <v>15</v>
      </c>
      <c r="E683" s="2" t="s">
        <v>28</v>
      </c>
      <c r="F683" s="2" t="s">
        <v>22</v>
      </c>
    </row>
    <row r="684" spans="1:6" x14ac:dyDescent="0.3">
      <c r="A684" s="2">
        <v>622</v>
      </c>
      <c r="B684" s="2">
        <v>32</v>
      </c>
      <c r="C684" s="6">
        <v>1530</v>
      </c>
      <c r="D684" s="2">
        <v>18</v>
      </c>
      <c r="E684" s="2" t="s">
        <v>25</v>
      </c>
      <c r="F684" s="2" t="s">
        <v>22</v>
      </c>
    </row>
    <row r="685" spans="1:6" x14ac:dyDescent="0.3">
      <c r="A685" s="2">
        <v>76</v>
      </c>
      <c r="B685" s="2">
        <v>66</v>
      </c>
      <c r="C685" s="6">
        <v>1526</v>
      </c>
      <c r="D685" s="2">
        <v>12</v>
      </c>
      <c r="E685" s="2" t="s">
        <v>27</v>
      </c>
      <c r="F685" s="2" t="s">
        <v>33</v>
      </c>
    </row>
    <row r="686" spans="1:6" x14ac:dyDescent="0.3">
      <c r="A686" s="2">
        <v>328</v>
      </c>
      <c r="B686" s="2">
        <v>34</v>
      </c>
      <c r="C686" s="6">
        <v>1525</v>
      </c>
      <c r="D686" s="2">
        <v>24</v>
      </c>
      <c r="E686" s="2" t="s">
        <v>25</v>
      </c>
      <c r="F686" s="2" t="s">
        <v>22</v>
      </c>
    </row>
    <row r="687" spans="1:6" x14ac:dyDescent="0.3">
      <c r="A687" s="2">
        <v>340</v>
      </c>
      <c r="B687" s="2">
        <v>31</v>
      </c>
      <c r="C687" s="6">
        <v>1521</v>
      </c>
      <c r="D687" s="2">
        <v>10</v>
      </c>
      <c r="E687" s="2" t="s">
        <v>26</v>
      </c>
      <c r="F687" s="2" t="s">
        <v>33</v>
      </c>
    </row>
    <row r="688" spans="1:6" x14ac:dyDescent="0.3">
      <c r="A688" s="2">
        <v>284</v>
      </c>
      <c r="B688" s="2">
        <v>63</v>
      </c>
      <c r="C688" s="6">
        <v>1520</v>
      </c>
      <c r="D688" s="2">
        <v>15</v>
      </c>
      <c r="E688" s="2" t="s">
        <v>26</v>
      </c>
      <c r="F688" s="2" t="s">
        <v>22</v>
      </c>
    </row>
    <row r="689" spans="1:6" x14ac:dyDescent="0.3">
      <c r="A689" s="2">
        <v>400</v>
      </c>
      <c r="B689" s="2">
        <v>43</v>
      </c>
      <c r="C689" s="6">
        <v>1516</v>
      </c>
      <c r="D689" s="2">
        <v>24</v>
      </c>
      <c r="E689" s="2" t="s">
        <v>24</v>
      </c>
      <c r="F689" s="2" t="s">
        <v>22</v>
      </c>
    </row>
    <row r="690" spans="1:6" x14ac:dyDescent="0.3">
      <c r="A690" s="2">
        <v>971</v>
      </c>
      <c r="B690" s="2">
        <v>22</v>
      </c>
      <c r="C690" s="6">
        <v>1514</v>
      </c>
      <c r="D690" s="2">
        <v>15</v>
      </c>
      <c r="E690" s="2" t="s">
        <v>29</v>
      </c>
      <c r="F690" s="2" t="s">
        <v>22</v>
      </c>
    </row>
    <row r="691" spans="1:6" x14ac:dyDescent="0.3">
      <c r="A691" s="2">
        <v>450</v>
      </c>
      <c r="B691" s="2">
        <v>61</v>
      </c>
      <c r="C691" s="6">
        <v>1512</v>
      </c>
      <c r="D691" s="2">
        <v>15</v>
      </c>
      <c r="E691" s="2" t="s">
        <v>29</v>
      </c>
      <c r="F691" s="2" t="s">
        <v>22</v>
      </c>
    </row>
    <row r="692" spans="1:6" x14ac:dyDescent="0.3">
      <c r="A692" s="2">
        <v>718</v>
      </c>
      <c r="B692" s="2">
        <v>32</v>
      </c>
      <c r="C692" s="6">
        <v>1505</v>
      </c>
      <c r="D692" s="2">
        <v>18</v>
      </c>
      <c r="E692" s="2" t="s">
        <v>24</v>
      </c>
      <c r="F692" s="2" t="s">
        <v>22</v>
      </c>
    </row>
    <row r="693" spans="1:6" x14ac:dyDescent="0.3">
      <c r="A693" s="2">
        <v>528</v>
      </c>
      <c r="B693" s="2">
        <v>42</v>
      </c>
      <c r="C693" s="6">
        <v>1503</v>
      </c>
      <c r="D693" s="2">
        <v>4</v>
      </c>
      <c r="E693" s="2" t="s">
        <v>24</v>
      </c>
      <c r="F693" s="2" t="s">
        <v>33</v>
      </c>
    </row>
    <row r="694" spans="1:6" x14ac:dyDescent="0.3">
      <c r="A694" s="2">
        <v>533</v>
      </c>
      <c r="B694" s="2">
        <v>41</v>
      </c>
      <c r="C694" s="6">
        <v>1503</v>
      </c>
      <c r="D694" s="2">
        <v>12</v>
      </c>
      <c r="E694" s="2" t="s">
        <v>27</v>
      </c>
      <c r="F694" s="2" t="s">
        <v>33</v>
      </c>
    </row>
    <row r="695" spans="1:6" x14ac:dyDescent="0.3">
      <c r="A695" s="2">
        <v>196</v>
      </c>
      <c r="B695" s="2">
        <v>34</v>
      </c>
      <c r="C695" s="6">
        <v>1501</v>
      </c>
      <c r="D695" s="2">
        <v>9</v>
      </c>
      <c r="E695" s="2" t="s">
        <v>28</v>
      </c>
      <c r="F695" s="2" t="s">
        <v>33</v>
      </c>
    </row>
    <row r="696" spans="1:6" x14ac:dyDescent="0.3">
      <c r="A696" s="2">
        <v>935</v>
      </c>
      <c r="B696" s="2">
        <v>23</v>
      </c>
      <c r="C696" s="6">
        <v>1498</v>
      </c>
      <c r="D696" s="2">
        <v>12</v>
      </c>
      <c r="E696" s="2" t="s">
        <v>24</v>
      </c>
      <c r="F696" s="2" t="s">
        <v>33</v>
      </c>
    </row>
    <row r="697" spans="1:6" x14ac:dyDescent="0.3">
      <c r="A697" s="2">
        <v>205</v>
      </c>
      <c r="B697" s="2">
        <v>38</v>
      </c>
      <c r="C697" s="6">
        <v>1495</v>
      </c>
      <c r="D697" s="2">
        <v>12</v>
      </c>
      <c r="E697" s="2" t="s">
        <v>25</v>
      </c>
      <c r="F697" s="2" t="s">
        <v>33</v>
      </c>
    </row>
    <row r="698" spans="1:6" x14ac:dyDescent="0.3">
      <c r="A698" s="2">
        <v>315</v>
      </c>
      <c r="B698" s="2">
        <v>29</v>
      </c>
      <c r="C698" s="6">
        <v>1494</v>
      </c>
      <c r="D698" s="2">
        <v>4</v>
      </c>
      <c r="E698" s="2" t="s">
        <v>25</v>
      </c>
      <c r="F698" s="2" t="s">
        <v>33</v>
      </c>
    </row>
    <row r="699" spans="1:6" x14ac:dyDescent="0.3">
      <c r="A699" s="2">
        <v>639</v>
      </c>
      <c r="B699" s="2">
        <v>34</v>
      </c>
      <c r="C699" s="6">
        <v>1493</v>
      </c>
      <c r="D699" s="2">
        <v>12</v>
      </c>
      <c r="E699" s="2" t="s">
        <v>24</v>
      </c>
      <c r="F699" s="2" t="s">
        <v>33</v>
      </c>
    </row>
    <row r="700" spans="1:6" x14ac:dyDescent="0.3">
      <c r="A700" s="2">
        <v>436</v>
      </c>
      <c r="B700" s="2">
        <v>25</v>
      </c>
      <c r="C700" s="6">
        <v>1484</v>
      </c>
      <c r="D700" s="2">
        <v>12</v>
      </c>
      <c r="E700" s="2" t="s">
        <v>24</v>
      </c>
      <c r="F700" s="2" t="s">
        <v>33</v>
      </c>
    </row>
    <row r="701" spans="1:6" x14ac:dyDescent="0.3">
      <c r="A701" s="2">
        <v>775</v>
      </c>
      <c r="B701" s="2">
        <v>66</v>
      </c>
      <c r="C701" s="6">
        <v>1480</v>
      </c>
      <c r="D701" s="2">
        <v>12</v>
      </c>
      <c r="E701" s="2" t="s">
        <v>25</v>
      </c>
      <c r="F701" s="2" t="s">
        <v>33</v>
      </c>
    </row>
    <row r="702" spans="1:6" x14ac:dyDescent="0.3">
      <c r="A702" s="2">
        <v>229</v>
      </c>
      <c r="B702" s="2">
        <v>22</v>
      </c>
      <c r="C702" s="6">
        <v>1478</v>
      </c>
      <c r="D702" s="2">
        <v>9</v>
      </c>
      <c r="E702" s="2" t="s">
        <v>24</v>
      </c>
      <c r="F702" s="2" t="s">
        <v>33</v>
      </c>
    </row>
    <row r="703" spans="1:6" x14ac:dyDescent="0.3">
      <c r="A703" s="2">
        <v>480</v>
      </c>
      <c r="B703" s="2">
        <v>44</v>
      </c>
      <c r="C703" s="6">
        <v>1478</v>
      </c>
      <c r="D703" s="2">
        <v>15</v>
      </c>
      <c r="E703" s="2" t="s">
        <v>26</v>
      </c>
      <c r="F703" s="2" t="s">
        <v>22</v>
      </c>
    </row>
    <row r="704" spans="1:6" x14ac:dyDescent="0.3">
      <c r="A704" s="2">
        <v>683</v>
      </c>
      <c r="B704" s="2">
        <v>33</v>
      </c>
      <c r="C704" s="6">
        <v>1478</v>
      </c>
      <c r="D704" s="2">
        <v>15</v>
      </c>
      <c r="E704" s="2" t="s">
        <v>24</v>
      </c>
      <c r="F704" s="2" t="s">
        <v>22</v>
      </c>
    </row>
    <row r="705" spans="1:6" x14ac:dyDescent="0.3">
      <c r="A705" s="2">
        <v>35</v>
      </c>
      <c r="B705" s="2">
        <v>33</v>
      </c>
      <c r="C705" s="6">
        <v>1474</v>
      </c>
      <c r="D705" s="2">
        <v>12</v>
      </c>
      <c r="E705" s="2" t="s">
        <v>26</v>
      </c>
      <c r="F705" s="2" t="s">
        <v>33</v>
      </c>
    </row>
    <row r="706" spans="1:6" x14ac:dyDescent="0.3">
      <c r="A706" s="2">
        <v>856</v>
      </c>
      <c r="B706" s="2">
        <v>33</v>
      </c>
      <c r="C706" s="6">
        <v>1474</v>
      </c>
      <c r="D706" s="2">
        <v>24</v>
      </c>
      <c r="E706" s="2" t="s">
        <v>25</v>
      </c>
      <c r="F706" s="2" t="s">
        <v>22</v>
      </c>
    </row>
    <row r="707" spans="1:6" x14ac:dyDescent="0.3">
      <c r="A707" s="2">
        <v>401</v>
      </c>
      <c r="B707" s="2">
        <v>39</v>
      </c>
      <c r="C707" s="6">
        <v>1473</v>
      </c>
      <c r="D707" s="2">
        <v>18</v>
      </c>
      <c r="E707" s="2" t="s">
        <v>24</v>
      </c>
      <c r="F707" s="2" t="s">
        <v>22</v>
      </c>
    </row>
    <row r="708" spans="1:6" x14ac:dyDescent="0.3">
      <c r="A708" s="2">
        <v>853</v>
      </c>
      <c r="B708" s="2">
        <v>35</v>
      </c>
      <c r="C708" s="6">
        <v>1471</v>
      </c>
      <c r="D708" s="2">
        <v>15</v>
      </c>
      <c r="E708" s="2" t="s">
        <v>24</v>
      </c>
      <c r="F708" s="2" t="s">
        <v>22</v>
      </c>
    </row>
    <row r="709" spans="1:6" x14ac:dyDescent="0.3">
      <c r="A709" s="2">
        <v>101</v>
      </c>
      <c r="B709" s="2">
        <v>41</v>
      </c>
      <c r="C709" s="6">
        <v>1469</v>
      </c>
      <c r="D709" s="2">
        <v>24</v>
      </c>
      <c r="E709" s="2" t="s">
        <v>25</v>
      </c>
      <c r="F709" s="2" t="s">
        <v>22</v>
      </c>
    </row>
    <row r="710" spans="1:6" x14ac:dyDescent="0.3">
      <c r="A710" s="2">
        <v>346</v>
      </c>
      <c r="B710" s="2">
        <v>43</v>
      </c>
      <c r="C710" s="6">
        <v>1459</v>
      </c>
      <c r="D710" s="2">
        <v>15</v>
      </c>
      <c r="E710" s="2" t="s">
        <v>24</v>
      </c>
      <c r="F710" s="2" t="s">
        <v>22</v>
      </c>
    </row>
    <row r="711" spans="1:6" x14ac:dyDescent="0.3">
      <c r="A711" s="2">
        <v>944</v>
      </c>
      <c r="B711" s="2">
        <v>42</v>
      </c>
      <c r="C711" s="6">
        <v>1455</v>
      </c>
      <c r="D711" s="2">
        <v>4</v>
      </c>
      <c r="E711" s="2" t="s">
        <v>25</v>
      </c>
      <c r="F711" s="2" t="s">
        <v>33</v>
      </c>
    </row>
    <row r="712" spans="1:6" x14ac:dyDescent="0.3">
      <c r="A712" s="2">
        <v>680</v>
      </c>
      <c r="B712" s="2">
        <v>26</v>
      </c>
      <c r="C712" s="6">
        <v>1453</v>
      </c>
      <c r="D712" s="2">
        <v>18</v>
      </c>
      <c r="E712" s="2" t="s">
        <v>24</v>
      </c>
      <c r="F712" s="2" t="s">
        <v>22</v>
      </c>
    </row>
    <row r="713" spans="1:6" x14ac:dyDescent="0.3">
      <c r="A713" s="2">
        <v>111</v>
      </c>
      <c r="B713" s="2">
        <v>31</v>
      </c>
      <c r="C713" s="6">
        <v>1449</v>
      </c>
      <c r="D713" s="2">
        <v>6</v>
      </c>
      <c r="E713" s="2" t="s">
        <v>23</v>
      </c>
      <c r="F713" s="2" t="s">
        <v>33</v>
      </c>
    </row>
    <row r="714" spans="1:6" x14ac:dyDescent="0.3">
      <c r="A714" s="2">
        <v>390</v>
      </c>
      <c r="B714" s="2">
        <v>27</v>
      </c>
      <c r="C714" s="6">
        <v>1449</v>
      </c>
      <c r="D714" s="2">
        <v>9</v>
      </c>
      <c r="E714" s="2" t="s">
        <v>23</v>
      </c>
      <c r="F714" s="2" t="s">
        <v>33</v>
      </c>
    </row>
    <row r="715" spans="1:6" x14ac:dyDescent="0.3">
      <c r="A715" s="2">
        <v>283</v>
      </c>
      <c r="B715" s="2">
        <v>49</v>
      </c>
      <c r="C715" s="6">
        <v>1445</v>
      </c>
      <c r="D715" s="2">
        <v>18</v>
      </c>
      <c r="E715" s="2" t="s">
        <v>24</v>
      </c>
      <c r="F715" s="2" t="s">
        <v>22</v>
      </c>
    </row>
    <row r="716" spans="1:6" x14ac:dyDescent="0.3">
      <c r="A716" s="2">
        <v>633</v>
      </c>
      <c r="B716" s="2">
        <v>23</v>
      </c>
      <c r="C716" s="6">
        <v>1444</v>
      </c>
      <c r="D716" s="2">
        <v>15</v>
      </c>
      <c r="E716" s="2" t="s">
        <v>24</v>
      </c>
      <c r="F716" s="2" t="s">
        <v>22</v>
      </c>
    </row>
    <row r="717" spans="1:6" x14ac:dyDescent="0.3">
      <c r="A717" s="2">
        <v>597</v>
      </c>
      <c r="B717" s="2">
        <v>23</v>
      </c>
      <c r="C717" s="6">
        <v>1442</v>
      </c>
      <c r="D717" s="2">
        <v>24</v>
      </c>
      <c r="E717" s="2" t="s">
        <v>25</v>
      </c>
      <c r="F717" s="2" t="s">
        <v>22</v>
      </c>
    </row>
    <row r="718" spans="1:6" x14ac:dyDescent="0.3">
      <c r="A718" s="2">
        <v>854</v>
      </c>
      <c r="B718" s="2">
        <v>32</v>
      </c>
      <c r="C718" s="6">
        <v>1442</v>
      </c>
      <c r="D718" s="2">
        <v>18</v>
      </c>
      <c r="E718" s="2" t="s">
        <v>25</v>
      </c>
      <c r="F718" s="2" t="s">
        <v>22</v>
      </c>
    </row>
    <row r="719" spans="1:6" x14ac:dyDescent="0.3">
      <c r="A719" s="2">
        <v>628</v>
      </c>
      <c r="B719" s="2">
        <v>29</v>
      </c>
      <c r="C719" s="6">
        <v>1437</v>
      </c>
      <c r="D719" s="2">
        <v>9</v>
      </c>
      <c r="E719" s="2" t="s">
        <v>25</v>
      </c>
      <c r="F719" s="2" t="s">
        <v>33</v>
      </c>
    </row>
    <row r="720" spans="1:6" x14ac:dyDescent="0.3">
      <c r="A720" s="2">
        <v>986</v>
      </c>
      <c r="B720" s="2">
        <v>25</v>
      </c>
      <c r="C720" s="6">
        <v>1433</v>
      </c>
      <c r="D720" s="2">
        <v>15</v>
      </c>
      <c r="E720" s="2" t="s">
        <v>26</v>
      </c>
      <c r="F720" s="2" t="s">
        <v>22</v>
      </c>
    </row>
    <row r="721" spans="1:6" x14ac:dyDescent="0.3">
      <c r="A721" s="2">
        <v>208</v>
      </c>
      <c r="B721" s="2">
        <v>26</v>
      </c>
      <c r="C721" s="6">
        <v>1424</v>
      </c>
      <c r="D721" s="2">
        <v>12</v>
      </c>
      <c r="E721" s="2" t="s">
        <v>31</v>
      </c>
      <c r="F721" s="2" t="s">
        <v>33</v>
      </c>
    </row>
    <row r="722" spans="1:6" x14ac:dyDescent="0.3">
      <c r="A722" s="2">
        <v>449</v>
      </c>
      <c r="B722" s="2">
        <v>55</v>
      </c>
      <c r="C722" s="6">
        <v>1424</v>
      </c>
      <c r="D722" s="2">
        <v>12</v>
      </c>
      <c r="E722" s="2" t="s">
        <v>26</v>
      </c>
      <c r="F722" s="2" t="s">
        <v>33</v>
      </c>
    </row>
    <row r="723" spans="1:6" x14ac:dyDescent="0.3">
      <c r="A723" s="2">
        <v>879</v>
      </c>
      <c r="B723" s="2">
        <v>27</v>
      </c>
      <c r="C723" s="6">
        <v>1422</v>
      </c>
      <c r="D723" s="2">
        <v>9</v>
      </c>
      <c r="E723" s="2" t="s">
        <v>25</v>
      </c>
      <c r="F723" s="2" t="s">
        <v>33</v>
      </c>
    </row>
    <row r="724" spans="1:6" x14ac:dyDescent="0.3">
      <c r="A724" s="2">
        <v>489</v>
      </c>
      <c r="B724" s="2">
        <v>35</v>
      </c>
      <c r="C724" s="6">
        <v>1418</v>
      </c>
      <c r="D724" s="2">
        <v>10</v>
      </c>
      <c r="E724" s="2" t="s">
        <v>25</v>
      </c>
      <c r="F724" s="2" t="s">
        <v>33</v>
      </c>
    </row>
    <row r="725" spans="1:6" x14ac:dyDescent="0.3">
      <c r="A725" s="2">
        <v>174</v>
      </c>
      <c r="B725" s="2">
        <v>33</v>
      </c>
      <c r="C725" s="6">
        <v>1414</v>
      </c>
      <c r="D725" s="2">
        <v>8</v>
      </c>
      <c r="E725" s="2" t="s">
        <v>24</v>
      </c>
      <c r="F725" s="2" t="s">
        <v>33</v>
      </c>
    </row>
    <row r="726" spans="1:6" x14ac:dyDescent="0.3">
      <c r="A726" s="2">
        <v>210</v>
      </c>
      <c r="B726" s="2">
        <v>55</v>
      </c>
      <c r="C726" s="6">
        <v>1413</v>
      </c>
      <c r="D726" s="2">
        <v>12</v>
      </c>
      <c r="E726" s="2" t="s">
        <v>27</v>
      </c>
      <c r="F726" s="2" t="s">
        <v>33</v>
      </c>
    </row>
    <row r="727" spans="1:6" x14ac:dyDescent="0.3">
      <c r="A727" s="2">
        <v>509</v>
      </c>
      <c r="B727" s="2">
        <v>28</v>
      </c>
      <c r="C727" s="6">
        <v>1413</v>
      </c>
      <c r="D727" s="2">
        <v>24</v>
      </c>
      <c r="E727" s="2" t="s">
        <v>24</v>
      </c>
      <c r="F727" s="2" t="s">
        <v>22</v>
      </c>
    </row>
    <row r="728" spans="1:6" x14ac:dyDescent="0.3">
      <c r="A728" s="2">
        <v>86</v>
      </c>
      <c r="B728" s="2">
        <v>29</v>
      </c>
      <c r="C728" s="6">
        <v>1412</v>
      </c>
      <c r="D728" s="2">
        <v>12</v>
      </c>
      <c r="E728" s="2" t="s">
        <v>23</v>
      </c>
      <c r="F728" s="2" t="s">
        <v>33</v>
      </c>
    </row>
    <row r="729" spans="1:6" x14ac:dyDescent="0.3">
      <c r="A729" s="2">
        <v>110</v>
      </c>
      <c r="B729" s="2">
        <v>35</v>
      </c>
      <c r="C729" s="6">
        <v>1410</v>
      </c>
      <c r="D729" s="2">
        <v>14</v>
      </c>
      <c r="E729" s="2" t="s">
        <v>23</v>
      </c>
      <c r="F729" s="2" t="s">
        <v>22</v>
      </c>
    </row>
    <row r="730" spans="1:6" x14ac:dyDescent="0.3">
      <c r="A730" s="2">
        <v>783</v>
      </c>
      <c r="B730" s="2">
        <v>31</v>
      </c>
      <c r="C730" s="6">
        <v>1410</v>
      </c>
      <c r="D730" s="2">
        <v>12</v>
      </c>
      <c r="E730" s="2" t="s">
        <v>32</v>
      </c>
      <c r="F730" s="2" t="s">
        <v>33</v>
      </c>
    </row>
    <row r="731" spans="1:6" x14ac:dyDescent="0.3">
      <c r="A731" s="2">
        <v>92</v>
      </c>
      <c r="B731" s="2">
        <v>54</v>
      </c>
      <c r="C731" s="6">
        <v>1409</v>
      </c>
      <c r="D731" s="2">
        <v>12</v>
      </c>
      <c r="E731" s="2" t="s">
        <v>27</v>
      </c>
      <c r="F731" s="2" t="s">
        <v>33</v>
      </c>
    </row>
    <row r="732" spans="1:6" x14ac:dyDescent="0.3">
      <c r="A732" s="2">
        <v>988</v>
      </c>
      <c r="B732" s="2">
        <v>64</v>
      </c>
      <c r="C732" s="6">
        <v>1409</v>
      </c>
      <c r="D732" s="2">
        <v>13</v>
      </c>
      <c r="E732" s="2" t="s">
        <v>24</v>
      </c>
      <c r="F732" s="2" t="s">
        <v>22</v>
      </c>
    </row>
    <row r="733" spans="1:6" x14ac:dyDescent="0.3">
      <c r="A733" s="2">
        <v>15</v>
      </c>
      <c r="B733" s="2">
        <v>28</v>
      </c>
      <c r="C733" s="6">
        <v>1403</v>
      </c>
      <c r="D733" s="2">
        <v>15</v>
      </c>
      <c r="E733" s="2" t="s">
        <v>25</v>
      </c>
      <c r="F733" s="2" t="s">
        <v>22</v>
      </c>
    </row>
    <row r="734" spans="1:6" x14ac:dyDescent="0.3">
      <c r="A734" s="2">
        <v>272</v>
      </c>
      <c r="B734" s="2">
        <v>37</v>
      </c>
      <c r="C734" s="6">
        <v>1402</v>
      </c>
      <c r="D734" s="2">
        <v>12</v>
      </c>
      <c r="E734" s="2" t="s">
        <v>26</v>
      </c>
      <c r="F734" s="2" t="s">
        <v>33</v>
      </c>
    </row>
    <row r="735" spans="1:6" x14ac:dyDescent="0.3">
      <c r="A735" s="2">
        <v>46</v>
      </c>
      <c r="B735" s="2">
        <v>35</v>
      </c>
      <c r="C735" s="6">
        <v>1393</v>
      </c>
      <c r="D735" s="2">
        <v>11</v>
      </c>
      <c r="E735" s="2" t="s">
        <v>25</v>
      </c>
      <c r="F735" s="2" t="s">
        <v>33</v>
      </c>
    </row>
    <row r="736" spans="1:6" x14ac:dyDescent="0.3">
      <c r="A736" s="2">
        <v>636</v>
      </c>
      <c r="B736" s="2">
        <v>47</v>
      </c>
      <c r="C736" s="6">
        <v>1393</v>
      </c>
      <c r="D736" s="2">
        <v>12</v>
      </c>
      <c r="E736" s="2" t="s">
        <v>28</v>
      </c>
      <c r="F736" s="2" t="s">
        <v>33</v>
      </c>
    </row>
    <row r="737" spans="1:6" x14ac:dyDescent="0.3">
      <c r="A737" s="2">
        <v>759</v>
      </c>
      <c r="B737" s="2">
        <v>31</v>
      </c>
      <c r="C737" s="6">
        <v>1393</v>
      </c>
      <c r="D737" s="2">
        <v>24</v>
      </c>
      <c r="E737" s="2" t="s">
        <v>25</v>
      </c>
      <c r="F737" s="2" t="s">
        <v>22</v>
      </c>
    </row>
    <row r="738" spans="1:6" x14ac:dyDescent="0.3">
      <c r="A738" s="2">
        <v>61</v>
      </c>
      <c r="B738" s="2">
        <v>27</v>
      </c>
      <c r="C738" s="6">
        <v>1391</v>
      </c>
      <c r="D738" s="2">
        <v>9</v>
      </c>
      <c r="E738" s="2" t="s">
        <v>23</v>
      </c>
      <c r="F738" s="2" t="s">
        <v>33</v>
      </c>
    </row>
    <row r="739" spans="1:6" x14ac:dyDescent="0.3">
      <c r="A739" s="2">
        <v>583</v>
      </c>
      <c r="B739" s="2">
        <v>26</v>
      </c>
      <c r="C739" s="6">
        <v>1388</v>
      </c>
      <c r="D739" s="2">
        <v>9</v>
      </c>
      <c r="E739" s="2" t="s">
        <v>26</v>
      </c>
      <c r="F739" s="2" t="s">
        <v>33</v>
      </c>
    </row>
    <row r="740" spans="1:6" x14ac:dyDescent="0.3">
      <c r="A740" s="2">
        <v>648</v>
      </c>
      <c r="B740" s="2">
        <v>26</v>
      </c>
      <c r="C740" s="6">
        <v>1386</v>
      </c>
      <c r="D740" s="2">
        <v>12</v>
      </c>
      <c r="E740" s="2" t="s">
        <v>25</v>
      </c>
      <c r="F740" s="2" t="s">
        <v>33</v>
      </c>
    </row>
    <row r="741" spans="1:6" x14ac:dyDescent="0.3">
      <c r="A741" s="2">
        <v>904</v>
      </c>
      <c r="B741" s="2">
        <v>40</v>
      </c>
      <c r="C741" s="6">
        <v>1386</v>
      </c>
      <c r="D741" s="2">
        <v>15</v>
      </c>
      <c r="E741" s="2" t="s">
        <v>24</v>
      </c>
      <c r="F741" s="2" t="s">
        <v>22</v>
      </c>
    </row>
    <row r="742" spans="1:6" x14ac:dyDescent="0.3">
      <c r="A742" s="2">
        <v>197</v>
      </c>
      <c r="B742" s="2">
        <v>28</v>
      </c>
      <c r="C742" s="6">
        <v>1382</v>
      </c>
      <c r="D742" s="2">
        <v>6</v>
      </c>
      <c r="E742" s="2" t="s">
        <v>24</v>
      </c>
      <c r="F742" s="2" t="s">
        <v>33</v>
      </c>
    </row>
    <row r="743" spans="1:6" x14ac:dyDescent="0.3">
      <c r="A743" s="2">
        <v>873</v>
      </c>
      <c r="B743" s="2">
        <v>26</v>
      </c>
      <c r="C743" s="6">
        <v>1382</v>
      </c>
      <c r="D743" s="2">
        <v>24</v>
      </c>
      <c r="E743" s="2" t="s">
        <v>23</v>
      </c>
      <c r="F743" s="2" t="s">
        <v>22</v>
      </c>
    </row>
    <row r="744" spans="1:6" x14ac:dyDescent="0.3">
      <c r="A744" s="2">
        <v>415</v>
      </c>
      <c r="B744" s="2">
        <v>35</v>
      </c>
      <c r="C744" s="6">
        <v>1381</v>
      </c>
      <c r="D744" s="2">
        <v>24</v>
      </c>
      <c r="E744" s="2" t="s">
        <v>25</v>
      </c>
      <c r="F744" s="2" t="s">
        <v>22</v>
      </c>
    </row>
    <row r="745" spans="1:6" x14ac:dyDescent="0.3">
      <c r="A745" s="2">
        <v>703</v>
      </c>
      <c r="B745" s="2">
        <v>47</v>
      </c>
      <c r="C745" s="6">
        <v>1377</v>
      </c>
      <c r="D745" s="2">
        <v>24</v>
      </c>
      <c r="E745" s="2" t="s">
        <v>24</v>
      </c>
      <c r="F745" s="2" t="s">
        <v>22</v>
      </c>
    </row>
    <row r="746" spans="1:6" x14ac:dyDescent="0.3">
      <c r="A746" s="2">
        <v>637</v>
      </c>
      <c r="B746" s="2">
        <v>28</v>
      </c>
      <c r="C746" s="6">
        <v>1376</v>
      </c>
      <c r="D746" s="2">
        <v>24</v>
      </c>
      <c r="E746" s="2" t="s">
        <v>24</v>
      </c>
      <c r="F746" s="2" t="s">
        <v>22</v>
      </c>
    </row>
    <row r="747" spans="1:6" x14ac:dyDescent="0.3">
      <c r="A747" s="2">
        <v>26</v>
      </c>
      <c r="B747" s="2">
        <v>36</v>
      </c>
      <c r="C747" s="6">
        <v>1374</v>
      </c>
      <c r="D747" s="2">
        <v>6</v>
      </c>
      <c r="E747" s="2" t="s">
        <v>26</v>
      </c>
      <c r="F747" s="2" t="s">
        <v>33</v>
      </c>
    </row>
    <row r="748" spans="1:6" x14ac:dyDescent="0.3">
      <c r="A748" s="2">
        <v>537</v>
      </c>
      <c r="B748" s="2">
        <v>75</v>
      </c>
      <c r="C748" s="6">
        <v>1374</v>
      </c>
      <c r="D748" s="2">
        <v>6</v>
      </c>
      <c r="E748" s="2" t="s">
        <v>25</v>
      </c>
      <c r="F748" s="2" t="s">
        <v>33</v>
      </c>
    </row>
    <row r="749" spans="1:6" x14ac:dyDescent="0.3">
      <c r="A749" s="2">
        <v>567</v>
      </c>
      <c r="B749" s="2">
        <v>36</v>
      </c>
      <c r="C749" s="6">
        <v>1372</v>
      </c>
      <c r="D749" s="2">
        <v>12</v>
      </c>
      <c r="E749" s="2" t="s">
        <v>25</v>
      </c>
      <c r="F749" s="2" t="s">
        <v>33</v>
      </c>
    </row>
    <row r="750" spans="1:6" x14ac:dyDescent="0.3">
      <c r="A750" s="2">
        <v>776</v>
      </c>
      <c r="B750" s="2">
        <v>25</v>
      </c>
      <c r="C750" s="6">
        <v>1371</v>
      </c>
      <c r="D750" s="2">
        <v>24</v>
      </c>
      <c r="E750" s="2" t="s">
        <v>25</v>
      </c>
      <c r="F750" s="2" t="s">
        <v>22</v>
      </c>
    </row>
    <row r="751" spans="1:6" x14ac:dyDescent="0.3">
      <c r="A751" s="2">
        <v>923</v>
      </c>
      <c r="B751" s="2">
        <v>22</v>
      </c>
      <c r="C751" s="6">
        <v>1366</v>
      </c>
      <c r="D751" s="2">
        <v>9</v>
      </c>
      <c r="E751" s="2" t="s">
        <v>24</v>
      </c>
      <c r="F751" s="2" t="s">
        <v>33</v>
      </c>
    </row>
    <row r="752" spans="1:6" x14ac:dyDescent="0.3">
      <c r="A752" s="2">
        <v>220</v>
      </c>
      <c r="B752" s="2">
        <v>64</v>
      </c>
      <c r="C752" s="6">
        <v>1364</v>
      </c>
      <c r="D752" s="2">
        <v>10</v>
      </c>
      <c r="E752" s="2" t="s">
        <v>25</v>
      </c>
      <c r="F752" s="2" t="s">
        <v>33</v>
      </c>
    </row>
    <row r="753" spans="1:6" x14ac:dyDescent="0.3">
      <c r="A753" s="2">
        <v>849</v>
      </c>
      <c r="B753" s="2">
        <v>59</v>
      </c>
      <c r="C753" s="6">
        <v>1364</v>
      </c>
      <c r="D753" s="2">
        <v>9</v>
      </c>
      <c r="E753" s="2" t="s">
        <v>24</v>
      </c>
      <c r="F753" s="2" t="s">
        <v>33</v>
      </c>
    </row>
    <row r="754" spans="1:6" x14ac:dyDescent="0.3">
      <c r="A754" s="2">
        <v>517</v>
      </c>
      <c r="B754" s="2">
        <v>40</v>
      </c>
      <c r="C754" s="6">
        <v>1361</v>
      </c>
      <c r="D754" s="2">
        <v>6</v>
      </c>
      <c r="E754" s="2" t="s">
        <v>25</v>
      </c>
      <c r="F754" s="2" t="s">
        <v>33</v>
      </c>
    </row>
    <row r="755" spans="1:6" x14ac:dyDescent="0.3">
      <c r="A755" s="2">
        <v>186</v>
      </c>
      <c r="B755" s="2">
        <v>31</v>
      </c>
      <c r="C755" s="6">
        <v>1360</v>
      </c>
      <c r="D755" s="2">
        <v>15</v>
      </c>
      <c r="E755" s="2" t="s">
        <v>24</v>
      </c>
      <c r="F755" s="2" t="s">
        <v>22</v>
      </c>
    </row>
    <row r="756" spans="1:6" x14ac:dyDescent="0.3">
      <c r="A756" s="2">
        <v>595</v>
      </c>
      <c r="B756" s="2">
        <v>40</v>
      </c>
      <c r="C756" s="6">
        <v>1358</v>
      </c>
      <c r="D756" s="2">
        <v>24</v>
      </c>
      <c r="E756" s="2" t="s">
        <v>21</v>
      </c>
      <c r="F756" s="2" t="s">
        <v>22</v>
      </c>
    </row>
    <row r="757" spans="1:6" x14ac:dyDescent="0.3">
      <c r="A757" s="2">
        <v>635</v>
      </c>
      <c r="B757" s="2">
        <v>25</v>
      </c>
      <c r="C757" s="6">
        <v>1355</v>
      </c>
      <c r="D757" s="2">
        <v>24</v>
      </c>
      <c r="E757" s="2" t="s">
        <v>25</v>
      </c>
      <c r="F757" s="2" t="s">
        <v>22</v>
      </c>
    </row>
    <row r="758" spans="1:6" x14ac:dyDescent="0.3">
      <c r="A758" s="2">
        <v>48</v>
      </c>
      <c r="B758" s="2">
        <v>23</v>
      </c>
      <c r="C758" s="6">
        <v>1352</v>
      </c>
      <c r="D758" s="2">
        <v>6</v>
      </c>
      <c r="E758" s="2" t="s">
        <v>27</v>
      </c>
      <c r="F758" s="2" t="s">
        <v>33</v>
      </c>
    </row>
    <row r="759" spans="1:6" x14ac:dyDescent="0.3">
      <c r="A759" s="2">
        <v>687</v>
      </c>
      <c r="B759" s="2">
        <v>27</v>
      </c>
      <c r="C759" s="6">
        <v>1347</v>
      </c>
      <c r="D759" s="2">
        <v>10</v>
      </c>
      <c r="E759" s="2" t="s">
        <v>24</v>
      </c>
      <c r="F759" s="2" t="s">
        <v>33</v>
      </c>
    </row>
    <row r="760" spans="1:6" x14ac:dyDescent="0.3">
      <c r="A760" s="2">
        <v>151</v>
      </c>
      <c r="B760" s="2">
        <v>42</v>
      </c>
      <c r="C760" s="6">
        <v>1346</v>
      </c>
      <c r="D760" s="2">
        <v>6</v>
      </c>
      <c r="E760" s="2" t="s">
        <v>24</v>
      </c>
      <c r="F760" s="2" t="s">
        <v>33</v>
      </c>
    </row>
    <row r="761" spans="1:6" x14ac:dyDescent="0.3">
      <c r="A761" s="2">
        <v>820</v>
      </c>
      <c r="B761" s="2">
        <v>26</v>
      </c>
      <c r="C761" s="6">
        <v>1345</v>
      </c>
      <c r="D761" s="2">
        <v>18</v>
      </c>
      <c r="E761" s="2" t="s">
        <v>24</v>
      </c>
      <c r="F761" s="2" t="s">
        <v>22</v>
      </c>
    </row>
    <row r="762" spans="1:6" x14ac:dyDescent="0.3">
      <c r="A762" s="2">
        <v>303</v>
      </c>
      <c r="B762" s="2">
        <v>37</v>
      </c>
      <c r="C762" s="6">
        <v>1344</v>
      </c>
      <c r="D762" s="2">
        <v>24</v>
      </c>
      <c r="E762" s="2" t="s">
        <v>25</v>
      </c>
      <c r="F762" s="2" t="s">
        <v>22</v>
      </c>
    </row>
    <row r="763" spans="1:6" x14ac:dyDescent="0.3">
      <c r="A763" s="2">
        <v>930</v>
      </c>
      <c r="B763" s="2">
        <v>43</v>
      </c>
      <c r="C763" s="6">
        <v>1344</v>
      </c>
      <c r="D763" s="2">
        <v>12</v>
      </c>
      <c r="E763" s="2" t="s">
        <v>25</v>
      </c>
      <c r="F763" s="2" t="s">
        <v>33</v>
      </c>
    </row>
    <row r="764" spans="1:6" x14ac:dyDescent="0.3">
      <c r="A764" s="2">
        <v>872</v>
      </c>
      <c r="B764" s="2">
        <v>46</v>
      </c>
      <c r="C764" s="6">
        <v>1343</v>
      </c>
      <c r="D764" s="2">
        <v>6</v>
      </c>
      <c r="E764" s="2" t="s">
        <v>25</v>
      </c>
      <c r="F764" s="2" t="s">
        <v>33</v>
      </c>
    </row>
    <row r="765" spans="1:6" x14ac:dyDescent="0.3">
      <c r="A765" s="2">
        <v>817</v>
      </c>
      <c r="B765" s="2">
        <v>62</v>
      </c>
      <c r="C765" s="6">
        <v>1338</v>
      </c>
      <c r="D765" s="2">
        <v>6</v>
      </c>
      <c r="E765" s="2" t="s">
        <v>31</v>
      </c>
      <c r="F765" s="2" t="s">
        <v>33</v>
      </c>
    </row>
    <row r="766" spans="1:6" x14ac:dyDescent="0.3">
      <c r="A766" s="2">
        <v>721</v>
      </c>
      <c r="B766" s="2">
        <v>34</v>
      </c>
      <c r="C766" s="6">
        <v>1337</v>
      </c>
      <c r="D766" s="2">
        <v>9</v>
      </c>
      <c r="E766" s="2" t="s">
        <v>24</v>
      </c>
      <c r="F766" s="2" t="s">
        <v>33</v>
      </c>
    </row>
    <row r="767" spans="1:6" x14ac:dyDescent="0.3">
      <c r="A767" s="2">
        <v>546</v>
      </c>
      <c r="B767" s="2">
        <v>43</v>
      </c>
      <c r="C767" s="6">
        <v>1333</v>
      </c>
      <c r="D767" s="2">
        <v>24</v>
      </c>
      <c r="E767" s="2" t="s">
        <v>25</v>
      </c>
      <c r="F767" s="2" t="s">
        <v>22</v>
      </c>
    </row>
    <row r="768" spans="1:6" x14ac:dyDescent="0.3">
      <c r="A768" s="2">
        <v>556</v>
      </c>
      <c r="B768" s="2">
        <v>22</v>
      </c>
      <c r="C768" s="6">
        <v>1331</v>
      </c>
      <c r="D768" s="2">
        <v>12</v>
      </c>
      <c r="E768" s="2" t="s">
        <v>24</v>
      </c>
      <c r="F768" s="2" t="s">
        <v>33</v>
      </c>
    </row>
    <row r="769" spans="1:6" x14ac:dyDescent="0.3">
      <c r="A769" s="2">
        <v>384</v>
      </c>
      <c r="B769" s="2">
        <v>26</v>
      </c>
      <c r="C769" s="6">
        <v>1330</v>
      </c>
      <c r="D769" s="2">
        <v>12</v>
      </c>
      <c r="E769" s="2" t="s">
        <v>25</v>
      </c>
      <c r="F769" s="2" t="s">
        <v>33</v>
      </c>
    </row>
    <row r="770" spans="1:6" x14ac:dyDescent="0.3">
      <c r="A770" s="2">
        <v>500</v>
      </c>
      <c r="B770" s="2">
        <v>28</v>
      </c>
      <c r="C770" s="6">
        <v>1323</v>
      </c>
      <c r="D770" s="2">
        <v>6</v>
      </c>
      <c r="E770" s="2" t="s">
        <v>25</v>
      </c>
      <c r="F770" s="2" t="s">
        <v>33</v>
      </c>
    </row>
    <row r="771" spans="1:6" x14ac:dyDescent="0.3">
      <c r="A771" s="2">
        <v>876</v>
      </c>
      <c r="B771" s="2">
        <v>40</v>
      </c>
      <c r="C771" s="6">
        <v>1322</v>
      </c>
      <c r="D771" s="2">
        <v>11</v>
      </c>
      <c r="E771" s="2" t="s">
        <v>25</v>
      </c>
      <c r="F771" s="2" t="s">
        <v>33</v>
      </c>
    </row>
    <row r="772" spans="1:6" x14ac:dyDescent="0.3">
      <c r="A772" s="2">
        <v>95</v>
      </c>
      <c r="B772" s="2">
        <v>54</v>
      </c>
      <c r="C772" s="6">
        <v>1318</v>
      </c>
      <c r="D772" s="2">
        <v>12</v>
      </c>
      <c r="E772" s="2" t="s">
        <v>25</v>
      </c>
      <c r="F772" s="2" t="s">
        <v>33</v>
      </c>
    </row>
    <row r="773" spans="1:6" x14ac:dyDescent="0.3">
      <c r="A773" s="2">
        <v>727</v>
      </c>
      <c r="B773" s="2">
        <v>47</v>
      </c>
      <c r="C773" s="6">
        <v>1316</v>
      </c>
      <c r="D773" s="2">
        <v>15</v>
      </c>
      <c r="E773" s="2" t="s">
        <v>24</v>
      </c>
      <c r="F773" s="2" t="s">
        <v>22</v>
      </c>
    </row>
    <row r="774" spans="1:6" x14ac:dyDescent="0.3">
      <c r="A774" s="2">
        <v>429</v>
      </c>
      <c r="B774" s="2">
        <v>20</v>
      </c>
      <c r="C774" s="6">
        <v>1313</v>
      </c>
      <c r="D774" s="2">
        <v>9</v>
      </c>
      <c r="E774" s="2" t="s">
        <v>26</v>
      </c>
      <c r="F774" s="2" t="s">
        <v>33</v>
      </c>
    </row>
    <row r="775" spans="1:6" x14ac:dyDescent="0.3">
      <c r="A775" s="2">
        <v>534</v>
      </c>
      <c r="B775" s="2">
        <v>26</v>
      </c>
      <c r="C775" s="6">
        <v>1311</v>
      </c>
      <c r="D775" s="2">
        <v>24</v>
      </c>
      <c r="E775" s="2" t="s">
        <v>24</v>
      </c>
      <c r="F775" s="2" t="s">
        <v>22</v>
      </c>
    </row>
    <row r="776" spans="1:6" x14ac:dyDescent="0.3">
      <c r="A776" s="2">
        <v>506</v>
      </c>
      <c r="B776" s="2">
        <v>27</v>
      </c>
      <c r="C776" s="6">
        <v>1309</v>
      </c>
      <c r="D776" s="2">
        <v>10</v>
      </c>
      <c r="E776" s="2" t="s">
        <v>25</v>
      </c>
      <c r="F776" s="2" t="s">
        <v>33</v>
      </c>
    </row>
    <row r="777" spans="1:6" x14ac:dyDescent="0.3">
      <c r="A777" s="2">
        <v>642</v>
      </c>
      <c r="B777" s="2">
        <v>38</v>
      </c>
      <c r="C777" s="6">
        <v>1308</v>
      </c>
      <c r="D777" s="2">
        <v>15</v>
      </c>
      <c r="E777" s="2" t="s">
        <v>29</v>
      </c>
      <c r="F777" s="2" t="s">
        <v>22</v>
      </c>
    </row>
    <row r="778" spans="1:6" x14ac:dyDescent="0.3">
      <c r="A778" s="2">
        <v>499</v>
      </c>
      <c r="B778" s="2">
        <v>32</v>
      </c>
      <c r="C778" s="6">
        <v>1301</v>
      </c>
      <c r="D778" s="2">
        <v>18</v>
      </c>
      <c r="E778" s="2" t="s">
        <v>24</v>
      </c>
      <c r="F778" s="2" t="s">
        <v>22</v>
      </c>
    </row>
    <row r="779" spans="1:6" x14ac:dyDescent="0.3">
      <c r="A779" s="2">
        <v>610</v>
      </c>
      <c r="B779" s="2">
        <v>45</v>
      </c>
      <c r="C779" s="6">
        <v>1300</v>
      </c>
      <c r="D779" s="2">
        <v>15</v>
      </c>
      <c r="E779" s="2" t="s">
        <v>27</v>
      </c>
      <c r="F779" s="2" t="s">
        <v>22</v>
      </c>
    </row>
    <row r="780" spans="1:6" x14ac:dyDescent="0.3">
      <c r="A780" s="2">
        <v>757</v>
      </c>
      <c r="B780" s="2">
        <v>74</v>
      </c>
      <c r="C780" s="6">
        <v>1299</v>
      </c>
      <c r="D780" s="2">
        <v>6</v>
      </c>
      <c r="E780" s="2" t="s">
        <v>25</v>
      </c>
      <c r="F780" s="2" t="s">
        <v>33</v>
      </c>
    </row>
    <row r="781" spans="1:6" x14ac:dyDescent="0.3">
      <c r="A781" s="2">
        <v>661</v>
      </c>
      <c r="B781" s="2">
        <v>23</v>
      </c>
      <c r="C781" s="6">
        <v>1297</v>
      </c>
      <c r="D781" s="2">
        <v>12</v>
      </c>
      <c r="E781" s="2" t="s">
        <v>24</v>
      </c>
      <c r="F781" s="2" t="s">
        <v>33</v>
      </c>
    </row>
    <row r="782" spans="1:6" x14ac:dyDescent="0.3">
      <c r="A782" s="2">
        <v>11</v>
      </c>
      <c r="B782" s="2">
        <v>25</v>
      </c>
      <c r="C782" s="6">
        <v>1295</v>
      </c>
      <c r="D782" s="2">
        <v>12</v>
      </c>
      <c r="E782" s="2" t="s">
        <v>25</v>
      </c>
      <c r="F782" s="2" t="s">
        <v>33</v>
      </c>
    </row>
    <row r="783" spans="1:6" x14ac:dyDescent="0.3">
      <c r="A783" s="2">
        <v>87</v>
      </c>
      <c r="B783" s="2">
        <v>27</v>
      </c>
      <c r="C783" s="6">
        <v>1295</v>
      </c>
      <c r="D783" s="2">
        <v>18</v>
      </c>
      <c r="E783" s="2" t="s">
        <v>26</v>
      </c>
      <c r="F783" s="2" t="s">
        <v>22</v>
      </c>
    </row>
    <row r="784" spans="1:6" x14ac:dyDescent="0.3">
      <c r="A784" s="2">
        <v>239</v>
      </c>
      <c r="B784" s="2">
        <v>35</v>
      </c>
      <c r="C784" s="6">
        <v>1291</v>
      </c>
      <c r="D784" s="2">
        <v>12</v>
      </c>
      <c r="E784" s="2" t="s">
        <v>24</v>
      </c>
      <c r="F784" s="2" t="s">
        <v>33</v>
      </c>
    </row>
    <row r="785" spans="1:6" x14ac:dyDescent="0.3">
      <c r="A785" s="2">
        <v>588</v>
      </c>
      <c r="B785" s="2">
        <v>21</v>
      </c>
      <c r="C785" s="6">
        <v>1289</v>
      </c>
      <c r="D785" s="2">
        <v>12</v>
      </c>
      <c r="E785" s="2" t="s">
        <v>26</v>
      </c>
      <c r="F785" s="2" t="s">
        <v>33</v>
      </c>
    </row>
    <row r="786" spans="1:6" x14ac:dyDescent="0.3">
      <c r="A786" s="2">
        <v>157</v>
      </c>
      <c r="B786" s="2">
        <v>48</v>
      </c>
      <c r="C786" s="6">
        <v>1288</v>
      </c>
      <c r="D786" s="2">
        <v>9</v>
      </c>
      <c r="E786" s="2" t="s">
        <v>29</v>
      </c>
      <c r="F786" s="2" t="s">
        <v>33</v>
      </c>
    </row>
    <row r="787" spans="1:6" x14ac:dyDescent="0.3">
      <c r="A787" s="2">
        <v>298</v>
      </c>
      <c r="B787" s="2">
        <v>45</v>
      </c>
      <c r="C787" s="6">
        <v>1287</v>
      </c>
      <c r="D787" s="2">
        <v>10</v>
      </c>
      <c r="E787" s="2" t="s">
        <v>25</v>
      </c>
      <c r="F787" s="2" t="s">
        <v>33</v>
      </c>
    </row>
    <row r="788" spans="1:6" x14ac:dyDescent="0.3">
      <c r="A788" s="2">
        <v>438</v>
      </c>
      <c r="B788" s="2">
        <v>37</v>
      </c>
      <c r="C788" s="6">
        <v>1287</v>
      </c>
      <c r="D788" s="2">
        <v>24</v>
      </c>
      <c r="E788" s="2" t="s">
        <v>25</v>
      </c>
      <c r="F788" s="2" t="s">
        <v>22</v>
      </c>
    </row>
    <row r="789" spans="1:6" x14ac:dyDescent="0.3">
      <c r="A789" s="2">
        <v>756</v>
      </c>
      <c r="B789" s="2">
        <v>32</v>
      </c>
      <c r="C789" s="6">
        <v>1285</v>
      </c>
      <c r="D789" s="2">
        <v>24</v>
      </c>
      <c r="E789" s="2" t="s">
        <v>25</v>
      </c>
      <c r="F789" s="2" t="s">
        <v>22</v>
      </c>
    </row>
    <row r="790" spans="1:6" x14ac:dyDescent="0.3">
      <c r="A790" s="2">
        <v>383</v>
      </c>
      <c r="B790" s="2">
        <v>25</v>
      </c>
      <c r="C790" s="6">
        <v>1283</v>
      </c>
      <c r="D790" s="2">
        <v>22</v>
      </c>
      <c r="E790" s="2" t="s">
        <v>25</v>
      </c>
      <c r="F790" s="2" t="s">
        <v>22</v>
      </c>
    </row>
    <row r="791" spans="1:6" x14ac:dyDescent="0.3">
      <c r="A791" s="2">
        <v>16</v>
      </c>
      <c r="B791" s="2">
        <v>32</v>
      </c>
      <c r="C791" s="6">
        <v>1282</v>
      </c>
      <c r="D791" s="2">
        <v>24</v>
      </c>
      <c r="E791" s="2" t="s">
        <v>24</v>
      </c>
      <c r="F791" s="2" t="s">
        <v>22</v>
      </c>
    </row>
    <row r="792" spans="1:6" x14ac:dyDescent="0.3">
      <c r="A792" s="2">
        <v>156</v>
      </c>
      <c r="B792" s="2">
        <v>20</v>
      </c>
      <c r="C792" s="6">
        <v>1282</v>
      </c>
      <c r="D792" s="2">
        <v>12</v>
      </c>
      <c r="E792" s="2" t="s">
        <v>26</v>
      </c>
      <c r="F792" s="2" t="s">
        <v>33</v>
      </c>
    </row>
    <row r="793" spans="1:6" x14ac:dyDescent="0.3">
      <c r="A793" s="2">
        <v>905</v>
      </c>
      <c r="B793" s="2">
        <v>36</v>
      </c>
      <c r="C793" s="6">
        <v>1278</v>
      </c>
      <c r="D793" s="2">
        <v>24</v>
      </c>
      <c r="E793" s="2" t="s">
        <v>24</v>
      </c>
      <c r="F793" s="2" t="s">
        <v>22</v>
      </c>
    </row>
    <row r="794" spans="1:6" x14ac:dyDescent="0.3">
      <c r="A794" s="2">
        <v>338</v>
      </c>
      <c r="B794" s="2">
        <v>24</v>
      </c>
      <c r="C794" s="6">
        <v>1275</v>
      </c>
      <c r="D794" s="2">
        <v>15</v>
      </c>
      <c r="E794" s="2" t="s">
        <v>31</v>
      </c>
      <c r="F794" s="2" t="s">
        <v>22</v>
      </c>
    </row>
    <row r="795" spans="1:6" x14ac:dyDescent="0.3">
      <c r="A795" s="2">
        <v>605</v>
      </c>
      <c r="B795" s="2">
        <v>23</v>
      </c>
      <c r="C795" s="6">
        <v>1275</v>
      </c>
      <c r="D795" s="2">
        <v>10</v>
      </c>
      <c r="E795" s="2" t="s">
        <v>26</v>
      </c>
      <c r="F795" s="2" t="s">
        <v>33</v>
      </c>
    </row>
    <row r="796" spans="1:6" x14ac:dyDescent="0.3">
      <c r="A796" s="2">
        <v>730</v>
      </c>
      <c r="B796" s="2">
        <v>36</v>
      </c>
      <c r="C796" s="6">
        <v>1275</v>
      </c>
      <c r="D796" s="2">
        <v>24</v>
      </c>
      <c r="E796" s="2" t="s">
        <v>23</v>
      </c>
      <c r="F796" s="2" t="s">
        <v>22</v>
      </c>
    </row>
    <row r="797" spans="1:6" x14ac:dyDescent="0.3">
      <c r="A797" s="2">
        <v>748</v>
      </c>
      <c r="B797" s="2">
        <v>37</v>
      </c>
      <c r="C797" s="6">
        <v>1274</v>
      </c>
      <c r="D797" s="2">
        <v>12</v>
      </c>
      <c r="E797" s="2" t="s">
        <v>25</v>
      </c>
      <c r="F797" s="2" t="s">
        <v>33</v>
      </c>
    </row>
    <row r="798" spans="1:6" x14ac:dyDescent="0.3">
      <c r="A798" s="2">
        <v>758</v>
      </c>
      <c r="B798" s="2">
        <v>39</v>
      </c>
      <c r="C798" s="6">
        <v>1271</v>
      </c>
      <c r="D798" s="2">
        <v>15</v>
      </c>
      <c r="E798" s="2" t="s">
        <v>24</v>
      </c>
      <c r="F798" s="2" t="s">
        <v>22</v>
      </c>
    </row>
    <row r="799" spans="1:6" x14ac:dyDescent="0.3">
      <c r="A799" s="2">
        <v>34</v>
      </c>
      <c r="B799" s="2">
        <v>57</v>
      </c>
      <c r="C799" s="6">
        <v>1264</v>
      </c>
      <c r="D799" s="2">
        <v>12</v>
      </c>
      <c r="E799" s="2" t="s">
        <v>23</v>
      </c>
      <c r="F799" s="2" t="s">
        <v>33</v>
      </c>
    </row>
    <row r="800" spans="1:6" x14ac:dyDescent="0.3">
      <c r="A800" s="2">
        <v>980</v>
      </c>
      <c r="B800" s="2">
        <v>25</v>
      </c>
      <c r="C800" s="6">
        <v>1264</v>
      </c>
      <c r="D800" s="2">
        <v>15</v>
      </c>
      <c r="E800" s="2" t="s">
        <v>25</v>
      </c>
      <c r="F800" s="2" t="s">
        <v>22</v>
      </c>
    </row>
    <row r="801" spans="1:6" x14ac:dyDescent="0.3">
      <c r="A801" s="2">
        <v>53</v>
      </c>
      <c r="B801" s="2">
        <v>25</v>
      </c>
      <c r="C801" s="6">
        <v>1262</v>
      </c>
      <c r="D801" s="2">
        <v>12</v>
      </c>
      <c r="E801" s="2" t="s">
        <v>24</v>
      </c>
      <c r="F801" s="2" t="s">
        <v>33</v>
      </c>
    </row>
    <row r="802" spans="1:6" x14ac:dyDescent="0.3">
      <c r="A802" s="2">
        <v>163</v>
      </c>
      <c r="B802" s="2">
        <v>36</v>
      </c>
      <c r="C802" s="6">
        <v>1262</v>
      </c>
      <c r="D802" s="2">
        <v>15</v>
      </c>
      <c r="E802" s="2" t="s">
        <v>31</v>
      </c>
      <c r="F802" s="2" t="s">
        <v>22</v>
      </c>
    </row>
    <row r="803" spans="1:6" x14ac:dyDescent="0.3">
      <c r="A803" s="2">
        <v>278</v>
      </c>
      <c r="B803" s="2">
        <v>49</v>
      </c>
      <c r="C803" s="6">
        <v>1262</v>
      </c>
      <c r="D803" s="2">
        <v>12</v>
      </c>
      <c r="E803" s="2" t="s">
        <v>26</v>
      </c>
      <c r="F803" s="2" t="s">
        <v>33</v>
      </c>
    </row>
    <row r="804" spans="1:6" x14ac:dyDescent="0.3">
      <c r="A804" s="2">
        <v>246</v>
      </c>
      <c r="B804" s="2">
        <v>25</v>
      </c>
      <c r="C804" s="6">
        <v>1258</v>
      </c>
      <c r="D804" s="2">
        <v>24</v>
      </c>
      <c r="E804" s="2" t="s">
        <v>23</v>
      </c>
      <c r="F804" s="2" t="s">
        <v>22</v>
      </c>
    </row>
    <row r="805" spans="1:6" x14ac:dyDescent="0.3">
      <c r="A805" s="2">
        <v>798</v>
      </c>
      <c r="B805" s="2">
        <v>22</v>
      </c>
      <c r="C805" s="6">
        <v>1258</v>
      </c>
      <c r="D805" s="2">
        <v>12</v>
      </c>
      <c r="E805" s="2" t="s">
        <v>26</v>
      </c>
      <c r="F805" s="2" t="s">
        <v>33</v>
      </c>
    </row>
    <row r="806" spans="1:6" x14ac:dyDescent="0.3">
      <c r="A806" s="2">
        <v>976</v>
      </c>
      <c r="B806" s="2">
        <v>57</v>
      </c>
      <c r="C806" s="6">
        <v>1258</v>
      </c>
      <c r="D806" s="2">
        <v>24</v>
      </c>
      <c r="E806" s="2" t="s">
        <v>24</v>
      </c>
      <c r="F806" s="2" t="s">
        <v>22</v>
      </c>
    </row>
    <row r="807" spans="1:6" x14ac:dyDescent="0.3">
      <c r="A807" s="2">
        <v>545</v>
      </c>
      <c r="B807" s="2">
        <v>61</v>
      </c>
      <c r="C807" s="6">
        <v>1255</v>
      </c>
      <c r="D807" s="2">
        <v>12</v>
      </c>
      <c r="E807" s="2" t="s">
        <v>25</v>
      </c>
      <c r="F807" s="2" t="s">
        <v>33</v>
      </c>
    </row>
    <row r="808" spans="1:6" x14ac:dyDescent="0.3">
      <c r="A808" s="2">
        <v>848</v>
      </c>
      <c r="B808" s="2">
        <v>28</v>
      </c>
      <c r="C808" s="6">
        <v>1249</v>
      </c>
      <c r="D808" s="2">
        <v>24</v>
      </c>
      <c r="E808" s="2" t="s">
        <v>25</v>
      </c>
      <c r="F808" s="2" t="s">
        <v>22</v>
      </c>
    </row>
    <row r="809" spans="1:6" x14ac:dyDescent="0.3">
      <c r="A809" s="2">
        <v>356</v>
      </c>
      <c r="B809" s="2">
        <v>23</v>
      </c>
      <c r="C809" s="6">
        <v>1246</v>
      </c>
      <c r="D809" s="2">
        <v>24</v>
      </c>
      <c r="E809" s="2" t="s">
        <v>25</v>
      </c>
      <c r="F809" s="2" t="s">
        <v>22</v>
      </c>
    </row>
    <row r="810" spans="1:6" x14ac:dyDescent="0.3">
      <c r="A810" s="2">
        <v>475</v>
      </c>
      <c r="B810" s="2">
        <v>33</v>
      </c>
      <c r="C810" s="6">
        <v>1245</v>
      </c>
      <c r="D810" s="2">
        <v>18</v>
      </c>
      <c r="E810" s="2" t="s">
        <v>24</v>
      </c>
      <c r="F810" s="2" t="s">
        <v>22</v>
      </c>
    </row>
    <row r="811" spans="1:6" x14ac:dyDescent="0.3">
      <c r="A811" s="2">
        <v>446</v>
      </c>
      <c r="B811" s="2">
        <v>41</v>
      </c>
      <c r="C811" s="6">
        <v>1244</v>
      </c>
      <c r="D811" s="2">
        <v>9</v>
      </c>
      <c r="E811" s="2" t="s">
        <v>28</v>
      </c>
      <c r="F811" s="2" t="s">
        <v>33</v>
      </c>
    </row>
    <row r="812" spans="1:6" x14ac:dyDescent="0.3">
      <c r="A812" s="2">
        <v>136</v>
      </c>
      <c r="B812" s="2">
        <v>38</v>
      </c>
      <c r="C812" s="6">
        <v>1240</v>
      </c>
      <c r="D812" s="2">
        <v>12</v>
      </c>
      <c r="E812" s="2" t="s">
        <v>24</v>
      </c>
      <c r="F812" s="2" t="s">
        <v>33</v>
      </c>
    </row>
    <row r="813" spans="1:6" x14ac:dyDescent="0.3">
      <c r="A813" s="2">
        <v>612</v>
      </c>
      <c r="B813" s="2">
        <v>48</v>
      </c>
      <c r="C813" s="6">
        <v>1240</v>
      </c>
      <c r="D813" s="2">
        <v>10</v>
      </c>
      <c r="E813" s="2" t="s">
        <v>25</v>
      </c>
      <c r="F813" s="2" t="s">
        <v>33</v>
      </c>
    </row>
    <row r="814" spans="1:6" x14ac:dyDescent="0.3">
      <c r="A814" s="2">
        <v>361</v>
      </c>
      <c r="B814" s="2">
        <v>61</v>
      </c>
      <c r="C814" s="6">
        <v>1239</v>
      </c>
      <c r="D814" s="2">
        <v>18</v>
      </c>
      <c r="E814" s="2" t="s">
        <v>28</v>
      </c>
      <c r="F814" s="2" t="s">
        <v>22</v>
      </c>
    </row>
    <row r="815" spans="1:6" x14ac:dyDescent="0.3">
      <c r="A815" s="2">
        <v>474</v>
      </c>
      <c r="B815" s="2">
        <v>36</v>
      </c>
      <c r="C815" s="6">
        <v>1238</v>
      </c>
      <c r="D815" s="2">
        <v>6</v>
      </c>
      <c r="E815" s="2" t="s">
        <v>32</v>
      </c>
      <c r="F815" s="2" t="s">
        <v>33</v>
      </c>
    </row>
    <row r="816" spans="1:6" x14ac:dyDescent="0.3">
      <c r="A816" s="2">
        <v>309</v>
      </c>
      <c r="B816" s="2">
        <v>24</v>
      </c>
      <c r="C816" s="6">
        <v>1237</v>
      </c>
      <c r="D816" s="2">
        <v>8</v>
      </c>
      <c r="E816" s="2" t="s">
        <v>26</v>
      </c>
      <c r="F816" s="2" t="s">
        <v>33</v>
      </c>
    </row>
    <row r="817" spans="1:6" x14ac:dyDescent="0.3">
      <c r="A817" s="2">
        <v>493</v>
      </c>
      <c r="B817" s="2">
        <v>27</v>
      </c>
      <c r="C817" s="6">
        <v>1237</v>
      </c>
      <c r="D817" s="2">
        <v>6</v>
      </c>
      <c r="E817" s="2" t="s">
        <v>24</v>
      </c>
      <c r="F817" s="2" t="s">
        <v>33</v>
      </c>
    </row>
    <row r="818" spans="1:6" x14ac:dyDescent="0.3">
      <c r="A818" s="2">
        <v>351</v>
      </c>
      <c r="B818" s="2">
        <v>23</v>
      </c>
      <c r="C818" s="6">
        <v>1236</v>
      </c>
      <c r="D818" s="2">
        <v>9</v>
      </c>
      <c r="E818" s="2" t="s">
        <v>31</v>
      </c>
      <c r="F818" s="2" t="s">
        <v>33</v>
      </c>
    </row>
    <row r="819" spans="1:6" x14ac:dyDescent="0.3">
      <c r="A819" s="2">
        <v>696</v>
      </c>
      <c r="B819" s="2">
        <v>50</v>
      </c>
      <c r="C819" s="6">
        <v>1236</v>
      </c>
      <c r="D819" s="2">
        <v>6</v>
      </c>
      <c r="E819" s="2" t="s">
        <v>27</v>
      </c>
      <c r="F819" s="2" t="s">
        <v>33</v>
      </c>
    </row>
    <row r="820" spans="1:6" x14ac:dyDescent="0.3">
      <c r="A820" s="2">
        <v>265</v>
      </c>
      <c r="B820" s="2">
        <v>32</v>
      </c>
      <c r="C820" s="6">
        <v>1231</v>
      </c>
      <c r="D820" s="2">
        <v>10</v>
      </c>
      <c r="E820" s="2" t="s">
        <v>25</v>
      </c>
      <c r="F820" s="2" t="s">
        <v>33</v>
      </c>
    </row>
    <row r="821" spans="1:6" x14ac:dyDescent="0.3">
      <c r="A821" s="2">
        <v>956</v>
      </c>
      <c r="B821" s="2">
        <v>57</v>
      </c>
      <c r="C821" s="6">
        <v>1231</v>
      </c>
      <c r="D821" s="2">
        <v>24</v>
      </c>
      <c r="E821" s="2" t="s">
        <v>24</v>
      </c>
      <c r="F821" s="2" t="s">
        <v>22</v>
      </c>
    </row>
    <row r="822" spans="1:6" x14ac:dyDescent="0.3">
      <c r="A822" s="2">
        <v>723</v>
      </c>
      <c r="B822" s="2">
        <v>24</v>
      </c>
      <c r="C822" s="6">
        <v>1228</v>
      </c>
      <c r="D822" s="2">
        <v>12</v>
      </c>
      <c r="E822" s="2" t="s">
        <v>25</v>
      </c>
      <c r="F822" s="2" t="s">
        <v>33</v>
      </c>
    </row>
    <row r="823" spans="1:6" x14ac:dyDescent="0.3">
      <c r="A823" s="2">
        <v>39</v>
      </c>
      <c r="B823" s="2">
        <v>37</v>
      </c>
      <c r="C823" s="6">
        <v>1225</v>
      </c>
      <c r="D823" s="2">
        <v>10</v>
      </c>
      <c r="E823" s="2" t="s">
        <v>31</v>
      </c>
      <c r="F823" s="2" t="s">
        <v>33</v>
      </c>
    </row>
    <row r="824" spans="1:6" x14ac:dyDescent="0.3">
      <c r="A824" s="2">
        <v>933</v>
      </c>
      <c r="B824" s="2">
        <v>30</v>
      </c>
      <c r="C824" s="6">
        <v>1224</v>
      </c>
      <c r="D824" s="2">
        <v>9</v>
      </c>
      <c r="E824" s="2" t="s">
        <v>25</v>
      </c>
      <c r="F824" s="2" t="s">
        <v>33</v>
      </c>
    </row>
    <row r="825" spans="1:6" x14ac:dyDescent="0.3">
      <c r="A825" s="2">
        <v>399</v>
      </c>
      <c r="B825" s="2">
        <v>46</v>
      </c>
      <c r="C825" s="6">
        <v>1223</v>
      </c>
      <c r="D825" s="2">
        <v>12</v>
      </c>
      <c r="E825" s="2" t="s">
        <v>25</v>
      </c>
      <c r="F825" s="2" t="s">
        <v>33</v>
      </c>
    </row>
    <row r="826" spans="1:6" x14ac:dyDescent="0.3">
      <c r="A826" s="2">
        <v>793</v>
      </c>
      <c r="B826" s="2">
        <v>27</v>
      </c>
      <c r="C826" s="6">
        <v>1221</v>
      </c>
      <c r="D826" s="2">
        <v>6</v>
      </c>
      <c r="E826" s="2" t="s">
        <v>26</v>
      </c>
      <c r="F826" s="2" t="s">
        <v>33</v>
      </c>
    </row>
    <row r="827" spans="1:6" x14ac:dyDescent="0.3">
      <c r="A827" s="2">
        <v>589</v>
      </c>
      <c r="B827" s="2">
        <v>47</v>
      </c>
      <c r="C827" s="6">
        <v>1217</v>
      </c>
      <c r="D827" s="2">
        <v>18</v>
      </c>
      <c r="E827" s="2" t="s">
        <v>31</v>
      </c>
      <c r="F827" s="2" t="s">
        <v>22</v>
      </c>
    </row>
    <row r="828" spans="1:6" x14ac:dyDescent="0.3">
      <c r="A828" s="2">
        <v>504</v>
      </c>
      <c r="B828" s="2">
        <v>38</v>
      </c>
      <c r="C828" s="6">
        <v>1216</v>
      </c>
      <c r="D828" s="2">
        <v>24</v>
      </c>
      <c r="E828" s="2" t="s">
        <v>24</v>
      </c>
      <c r="F828" s="2" t="s">
        <v>22</v>
      </c>
    </row>
    <row r="829" spans="1:6" x14ac:dyDescent="0.3">
      <c r="A829" s="2">
        <v>832</v>
      </c>
      <c r="B829" s="2">
        <v>23</v>
      </c>
      <c r="C829" s="6">
        <v>1216</v>
      </c>
      <c r="D829" s="2">
        <v>18</v>
      </c>
      <c r="E829" s="2" t="s">
        <v>25</v>
      </c>
      <c r="F829" s="2" t="s">
        <v>22</v>
      </c>
    </row>
    <row r="830" spans="1:6" x14ac:dyDescent="0.3">
      <c r="A830" s="2">
        <v>82</v>
      </c>
      <c r="B830" s="2">
        <v>47</v>
      </c>
      <c r="C830" s="6">
        <v>1213</v>
      </c>
      <c r="D830" s="2">
        <v>15</v>
      </c>
      <c r="E830" s="2" t="s">
        <v>24</v>
      </c>
      <c r="F830" s="2" t="s">
        <v>22</v>
      </c>
    </row>
    <row r="831" spans="1:6" x14ac:dyDescent="0.3">
      <c r="A831" s="2">
        <v>486</v>
      </c>
      <c r="B831" s="2">
        <v>47</v>
      </c>
      <c r="C831" s="6">
        <v>1209</v>
      </c>
      <c r="D831" s="2">
        <v>6</v>
      </c>
      <c r="E831" s="2" t="s">
        <v>25</v>
      </c>
      <c r="F831" s="2" t="s">
        <v>33</v>
      </c>
    </row>
    <row r="832" spans="1:6" x14ac:dyDescent="0.3">
      <c r="A832" s="2">
        <v>505</v>
      </c>
      <c r="B832" s="2">
        <v>24</v>
      </c>
      <c r="C832" s="6">
        <v>1207</v>
      </c>
      <c r="D832" s="2">
        <v>24</v>
      </c>
      <c r="E832" s="2" t="s">
        <v>25</v>
      </c>
      <c r="F832" s="2" t="s">
        <v>22</v>
      </c>
    </row>
    <row r="833" spans="1:6" x14ac:dyDescent="0.3">
      <c r="A833" s="2">
        <v>709</v>
      </c>
      <c r="B833" s="2">
        <v>25</v>
      </c>
      <c r="C833" s="6">
        <v>1206</v>
      </c>
      <c r="D833" s="2">
        <v>9</v>
      </c>
      <c r="E833" s="2" t="s">
        <v>24</v>
      </c>
      <c r="F833" s="2" t="s">
        <v>33</v>
      </c>
    </row>
    <row r="834" spans="1:6" x14ac:dyDescent="0.3">
      <c r="A834" s="2">
        <v>248</v>
      </c>
      <c r="B834" s="2">
        <v>35</v>
      </c>
      <c r="C834" s="6">
        <v>1204</v>
      </c>
      <c r="D834" s="2">
        <v>6</v>
      </c>
      <c r="E834" s="2" t="s">
        <v>25</v>
      </c>
      <c r="F834" s="2" t="s">
        <v>33</v>
      </c>
    </row>
    <row r="835" spans="1:6" x14ac:dyDescent="0.3">
      <c r="A835" s="2">
        <v>519</v>
      </c>
      <c r="B835" s="2">
        <v>43</v>
      </c>
      <c r="C835" s="6">
        <v>1203</v>
      </c>
      <c r="D835" s="2">
        <v>6</v>
      </c>
      <c r="E835" s="2" t="s">
        <v>25</v>
      </c>
      <c r="F835" s="2" t="s">
        <v>33</v>
      </c>
    </row>
    <row r="836" spans="1:6" x14ac:dyDescent="0.3">
      <c r="A836" s="2">
        <v>482</v>
      </c>
      <c r="B836" s="2">
        <v>26</v>
      </c>
      <c r="C836" s="6">
        <v>1201</v>
      </c>
      <c r="D836" s="2">
        <v>24</v>
      </c>
      <c r="E836" s="2" t="s">
        <v>25</v>
      </c>
      <c r="F836" s="2" t="s">
        <v>22</v>
      </c>
    </row>
    <row r="837" spans="1:6" x14ac:dyDescent="0.3">
      <c r="A837" s="2">
        <v>222</v>
      </c>
      <c r="B837" s="2">
        <v>23</v>
      </c>
      <c r="C837" s="6">
        <v>1200</v>
      </c>
      <c r="D837" s="2">
        <v>12</v>
      </c>
      <c r="E837" s="2" t="s">
        <v>28</v>
      </c>
      <c r="F837" s="2" t="s">
        <v>33</v>
      </c>
    </row>
    <row r="838" spans="1:6" x14ac:dyDescent="0.3">
      <c r="A838" s="2">
        <v>14</v>
      </c>
      <c r="B838" s="2">
        <v>60</v>
      </c>
      <c r="C838" s="6">
        <v>1199</v>
      </c>
      <c r="D838" s="2">
        <v>24</v>
      </c>
      <c r="E838" s="2" t="s">
        <v>25</v>
      </c>
      <c r="F838" s="2" t="s">
        <v>22</v>
      </c>
    </row>
    <row r="839" spans="1:6" x14ac:dyDescent="0.3">
      <c r="A839" s="2">
        <v>555</v>
      </c>
      <c r="B839" s="2">
        <v>67</v>
      </c>
      <c r="C839" s="6">
        <v>1199</v>
      </c>
      <c r="D839" s="2">
        <v>9</v>
      </c>
      <c r="E839" s="2" t="s">
        <v>28</v>
      </c>
      <c r="F839" s="2" t="s">
        <v>33</v>
      </c>
    </row>
    <row r="840" spans="1:6" x14ac:dyDescent="0.3">
      <c r="A840" s="2">
        <v>712</v>
      </c>
      <c r="B840" s="2">
        <v>35</v>
      </c>
      <c r="C840" s="6">
        <v>1198</v>
      </c>
      <c r="D840" s="2">
        <v>6</v>
      </c>
      <c r="E840" s="2" t="s">
        <v>28</v>
      </c>
      <c r="F840" s="2" t="s">
        <v>33</v>
      </c>
    </row>
    <row r="841" spans="1:6" x14ac:dyDescent="0.3">
      <c r="A841" s="2">
        <v>973</v>
      </c>
      <c r="B841" s="2">
        <v>29</v>
      </c>
      <c r="C841" s="6">
        <v>1193</v>
      </c>
      <c r="D841" s="2">
        <v>24</v>
      </c>
      <c r="E841" s="2" t="s">
        <v>25</v>
      </c>
      <c r="F841" s="2" t="s">
        <v>22</v>
      </c>
    </row>
    <row r="842" spans="1:6" x14ac:dyDescent="0.3">
      <c r="A842" s="2">
        <v>430</v>
      </c>
      <c r="B842" s="2">
        <v>55</v>
      </c>
      <c r="C842" s="6">
        <v>1190</v>
      </c>
      <c r="D842" s="2">
        <v>18</v>
      </c>
      <c r="E842" s="2" t="s">
        <v>29</v>
      </c>
      <c r="F842" s="2" t="s">
        <v>22</v>
      </c>
    </row>
    <row r="843" spans="1:6" x14ac:dyDescent="0.3">
      <c r="A843" s="2">
        <v>791</v>
      </c>
      <c r="B843" s="2">
        <v>39</v>
      </c>
      <c r="C843" s="6">
        <v>1188</v>
      </c>
      <c r="D843" s="2">
        <v>21</v>
      </c>
      <c r="E843" s="2" t="s">
        <v>23</v>
      </c>
      <c r="F843" s="2" t="s">
        <v>22</v>
      </c>
    </row>
    <row r="844" spans="1:6" x14ac:dyDescent="0.3">
      <c r="A844" s="2">
        <v>244</v>
      </c>
      <c r="B844" s="2">
        <v>27</v>
      </c>
      <c r="C844" s="6">
        <v>1185</v>
      </c>
      <c r="D844" s="2">
        <v>12</v>
      </c>
      <c r="E844" s="2" t="s">
        <v>23</v>
      </c>
      <c r="F844" s="2" t="s">
        <v>33</v>
      </c>
    </row>
    <row r="845" spans="1:6" x14ac:dyDescent="0.3">
      <c r="A845" s="2">
        <v>188</v>
      </c>
      <c r="B845" s="2">
        <v>68</v>
      </c>
      <c r="C845" s="6">
        <v>1175</v>
      </c>
      <c r="D845" s="2">
        <v>16</v>
      </c>
      <c r="E845" s="2" t="s">
        <v>25</v>
      </c>
      <c r="F845" s="2" t="s">
        <v>22</v>
      </c>
    </row>
    <row r="846" spans="1:6" x14ac:dyDescent="0.3">
      <c r="A846" s="2">
        <v>1</v>
      </c>
      <c r="B846" s="2">
        <v>67</v>
      </c>
      <c r="C846" s="6">
        <v>1169</v>
      </c>
      <c r="D846" s="2">
        <v>6</v>
      </c>
      <c r="E846" s="2" t="s">
        <v>24</v>
      </c>
      <c r="F846" s="2" t="s">
        <v>33</v>
      </c>
    </row>
    <row r="847" spans="1:6" x14ac:dyDescent="0.3">
      <c r="A847" s="2">
        <v>895</v>
      </c>
      <c r="B847" s="2">
        <v>29</v>
      </c>
      <c r="C847" s="6">
        <v>1169</v>
      </c>
      <c r="D847" s="2">
        <v>18</v>
      </c>
      <c r="E847" s="2" t="s">
        <v>24</v>
      </c>
      <c r="F847" s="2" t="s">
        <v>22</v>
      </c>
    </row>
    <row r="848" spans="1:6" x14ac:dyDescent="0.3">
      <c r="A848" s="2">
        <v>202</v>
      </c>
      <c r="B848" s="2">
        <v>27</v>
      </c>
      <c r="C848" s="6">
        <v>1168</v>
      </c>
      <c r="D848" s="2">
        <v>12</v>
      </c>
      <c r="E848" s="2" t="s">
        <v>25</v>
      </c>
      <c r="F848" s="2" t="s">
        <v>33</v>
      </c>
    </row>
    <row r="849" spans="1:6" x14ac:dyDescent="0.3">
      <c r="A849" s="2">
        <v>73</v>
      </c>
      <c r="B849" s="2">
        <v>51</v>
      </c>
      <c r="C849" s="6">
        <v>1164</v>
      </c>
      <c r="D849" s="2">
        <v>8</v>
      </c>
      <c r="E849" s="2" t="s">
        <v>21</v>
      </c>
      <c r="F849" s="2" t="s">
        <v>33</v>
      </c>
    </row>
    <row r="850" spans="1:6" x14ac:dyDescent="0.3">
      <c r="A850" s="2">
        <v>485</v>
      </c>
      <c r="B850" s="2">
        <v>44</v>
      </c>
      <c r="C850" s="6">
        <v>1163</v>
      </c>
      <c r="D850" s="2">
        <v>12</v>
      </c>
      <c r="E850" s="2" t="s">
        <v>25</v>
      </c>
      <c r="F850" s="2" t="s">
        <v>33</v>
      </c>
    </row>
    <row r="851" spans="1:6" x14ac:dyDescent="0.3">
      <c r="A851" s="2">
        <v>42</v>
      </c>
      <c r="B851" s="2">
        <v>26</v>
      </c>
      <c r="C851" s="6">
        <v>1158</v>
      </c>
      <c r="D851" s="2">
        <v>12</v>
      </c>
      <c r="E851" s="2" t="s">
        <v>24</v>
      </c>
      <c r="F851" s="2" t="s">
        <v>33</v>
      </c>
    </row>
    <row r="852" spans="1:6" x14ac:dyDescent="0.3">
      <c r="A852" s="2">
        <v>766</v>
      </c>
      <c r="B852" s="2">
        <v>40</v>
      </c>
      <c r="C852" s="6">
        <v>1155</v>
      </c>
      <c r="D852" s="2">
        <v>12</v>
      </c>
      <c r="E852" s="2" t="s">
        <v>24</v>
      </c>
      <c r="F852" s="2" t="s">
        <v>33</v>
      </c>
    </row>
    <row r="853" spans="1:6" x14ac:dyDescent="0.3">
      <c r="A853" s="2">
        <v>260</v>
      </c>
      <c r="B853" s="2">
        <v>57</v>
      </c>
      <c r="C853" s="6">
        <v>1154</v>
      </c>
      <c r="D853" s="2">
        <v>11</v>
      </c>
      <c r="E853" s="2" t="s">
        <v>24</v>
      </c>
      <c r="F853" s="2" t="s">
        <v>33</v>
      </c>
    </row>
    <row r="854" spans="1:6" x14ac:dyDescent="0.3">
      <c r="A854" s="2">
        <v>958</v>
      </c>
      <c r="B854" s="2">
        <v>37</v>
      </c>
      <c r="C854" s="6">
        <v>1154</v>
      </c>
      <c r="D854" s="2">
        <v>9</v>
      </c>
      <c r="E854" s="2" t="s">
        <v>24</v>
      </c>
      <c r="F854" s="2" t="s">
        <v>33</v>
      </c>
    </row>
    <row r="855" spans="1:6" x14ac:dyDescent="0.3">
      <c r="A855" s="2">
        <v>428</v>
      </c>
      <c r="B855" s="2">
        <v>46</v>
      </c>
      <c r="C855" s="6">
        <v>1149</v>
      </c>
      <c r="D855" s="2">
        <v>18</v>
      </c>
      <c r="E855" s="2" t="s">
        <v>24</v>
      </c>
      <c r="F855" s="2" t="s">
        <v>22</v>
      </c>
    </row>
    <row r="856" spans="1:6" x14ac:dyDescent="0.3">
      <c r="A856" s="2">
        <v>714</v>
      </c>
      <c r="B856" s="2">
        <v>25</v>
      </c>
      <c r="C856" s="6">
        <v>1138</v>
      </c>
      <c r="D856" s="2">
        <v>9</v>
      </c>
      <c r="E856" s="2" t="s">
        <v>24</v>
      </c>
      <c r="F856" s="2" t="s">
        <v>33</v>
      </c>
    </row>
    <row r="857" spans="1:6" x14ac:dyDescent="0.3">
      <c r="A857" s="2">
        <v>350</v>
      </c>
      <c r="B857" s="2">
        <v>32</v>
      </c>
      <c r="C857" s="6">
        <v>1136</v>
      </c>
      <c r="D857" s="2">
        <v>9</v>
      </c>
      <c r="E857" s="2" t="s">
        <v>28</v>
      </c>
      <c r="F857" s="2" t="s">
        <v>33</v>
      </c>
    </row>
    <row r="858" spans="1:6" x14ac:dyDescent="0.3">
      <c r="A858" s="2">
        <v>167</v>
      </c>
      <c r="B858" s="2">
        <v>33</v>
      </c>
      <c r="C858" s="6">
        <v>1131</v>
      </c>
      <c r="D858" s="2">
        <v>18</v>
      </c>
      <c r="E858" s="2" t="s">
        <v>26</v>
      </c>
      <c r="F858" s="2" t="s">
        <v>22</v>
      </c>
    </row>
    <row r="859" spans="1:6" x14ac:dyDescent="0.3">
      <c r="A859" s="2">
        <v>387</v>
      </c>
      <c r="B859" s="2">
        <v>21</v>
      </c>
      <c r="C859" s="6">
        <v>1126</v>
      </c>
      <c r="D859" s="2">
        <v>18</v>
      </c>
      <c r="E859" s="2" t="s">
        <v>24</v>
      </c>
      <c r="F859" s="2" t="s">
        <v>22</v>
      </c>
    </row>
    <row r="860" spans="1:6" x14ac:dyDescent="0.3">
      <c r="A860" s="2">
        <v>503</v>
      </c>
      <c r="B860" s="2">
        <v>49</v>
      </c>
      <c r="C860" s="6">
        <v>1126</v>
      </c>
      <c r="D860" s="2">
        <v>9</v>
      </c>
      <c r="E860" s="2" t="s">
        <v>24</v>
      </c>
      <c r="F860" s="2" t="s">
        <v>33</v>
      </c>
    </row>
    <row r="861" spans="1:6" x14ac:dyDescent="0.3">
      <c r="A861" s="2">
        <v>701</v>
      </c>
      <c r="B861" s="2">
        <v>29</v>
      </c>
      <c r="C861" s="6">
        <v>1123</v>
      </c>
      <c r="D861" s="2">
        <v>12</v>
      </c>
      <c r="E861" s="2" t="s">
        <v>26</v>
      </c>
      <c r="F861" s="2" t="s">
        <v>33</v>
      </c>
    </row>
    <row r="862" spans="1:6" x14ac:dyDescent="0.3">
      <c r="A862" s="2">
        <v>525</v>
      </c>
      <c r="B862" s="2">
        <v>26</v>
      </c>
      <c r="C862" s="6">
        <v>1113</v>
      </c>
      <c r="D862" s="2">
        <v>18</v>
      </c>
      <c r="E862" s="2" t="s">
        <v>24</v>
      </c>
      <c r="F862" s="2" t="s">
        <v>22</v>
      </c>
    </row>
    <row r="863" spans="1:6" x14ac:dyDescent="0.3">
      <c r="A863" s="2">
        <v>90</v>
      </c>
      <c r="B863" s="2">
        <v>28</v>
      </c>
      <c r="C863" s="6">
        <v>1108</v>
      </c>
      <c r="D863" s="2">
        <v>12</v>
      </c>
      <c r="E863" s="2" t="s">
        <v>29</v>
      </c>
      <c r="F863" s="2" t="s">
        <v>33</v>
      </c>
    </row>
    <row r="864" spans="1:6" x14ac:dyDescent="0.3">
      <c r="A864" s="2">
        <v>906</v>
      </c>
      <c r="B864" s="2">
        <v>20</v>
      </c>
      <c r="C864" s="6">
        <v>1107</v>
      </c>
      <c r="D864" s="2">
        <v>12</v>
      </c>
      <c r="E864" s="2" t="s">
        <v>24</v>
      </c>
      <c r="F864" s="2" t="s">
        <v>33</v>
      </c>
    </row>
    <row r="865" spans="1:6" x14ac:dyDescent="0.3">
      <c r="A865" s="2">
        <v>697</v>
      </c>
      <c r="B865" s="2">
        <v>29</v>
      </c>
      <c r="C865" s="6">
        <v>1103</v>
      </c>
      <c r="D865" s="2">
        <v>12</v>
      </c>
      <c r="E865" s="2" t="s">
        <v>24</v>
      </c>
      <c r="F865" s="2" t="s">
        <v>33</v>
      </c>
    </row>
    <row r="866" spans="1:6" x14ac:dyDescent="0.3">
      <c r="A866" s="2">
        <v>821</v>
      </c>
      <c r="B866" s="2">
        <v>27</v>
      </c>
      <c r="C866" s="6">
        <v>1101</v>
      </c>
      <c r="D866" s="2">
        <v>12</v>
      </c>
      <c r="E866" s="2" t="s">
        <v>25</v>
      </c>
      <c r="F866" s="2" t="s">
        <v>33</v>
      </c>
    </row>
    <row r="867" spans="1:6" x14ac:dyDescent="0.3">
      <c r="A867" s="2">
        <v>884</v>
      </c>
      <c r="B867" s="2">
        <v>65</v>
      </c>
      <c r="C867" s="6">
        <v>1098</v>
      </c>
      <c r="D867" s="2">
        <v>18</v>
      </c>
      <c r="E867" s="2" t="s">
        <v>24</v>
      </c>
      <c r="F867" s="2" t="s">
        <v>22</v>
      </c>
    </row>
    <row r="868" spans="1:6" x14ac:dyDescent="0.3">
      <c r="A868" s="2">
        <v>289</v>
      </c>
      <c r="B868" s="2">
        <v>49</v>
      </c>
      <c r="C868" s="6">
        <v>1092</v>
      </c>
      <c r="D868" s="2">
        <v>12</v>
      </c>
      <c r="E868" s="2" t="s">
        <v>24</v>
      </c>
      <c r="F868" s="2" t="s">
        <v>33</v>
      </c>
    </row>
    <row r="869" spans="1:6" x14ac:dyDescent="0.3">
      <c r="A869" s="2">
        <v>575</v>
      </c>
      <c r="B869" s="2">
        <v>27</v>
      </c>
      <c r="C869" s="6">
        <v>1082</v>
      </c>
      <c r="D869" s="2">
        <v>9</v>
      </c>
      <c r="E869" s="2" t="s">
        <v>24</v>
      </c>
      <c r="F869" s="2" t="s">
        <v>33</v>
      </c>
    </row>
    <row r="870" spans="1:6" x14ac:dyDescent="0.3">
      <c r="A870" s="2">
        <v>836</v>
      </c>
      <c r="B870" s="2">
        <v>48</v>
      </c>
      <c r="C870" s="6">
        <v>1082</v>
      </c>
      <c r="D870" s="2">
        <v>12</v>
      </c>
      <c r="E870" s="2" t="s">
        <v>25</v>
      </c>
      <c r="F870" s="2" t="s">
        <v>33</v>
      </c>
    </row>
    <row r="871" spans="1:6" x14ac:dyDescent="0.3">
      <c r="A871" s="2">
        <v>291</v>
      </c>
      <c r="B871" s="2">
        <v>26</v>
      </c>
      <c r="C871" s="6">
        <v>1076</v>
      </c>
      <c r="D871" s="2">
        <v>12</v>
      </c>
      <c r="E871" s="2" t="s">
        <v>23</v>
      </c>
      <c r="F871" s="2" t="s">
        <v>33</v>
      </c>
    </row>
    <row r="872" spans="1:6" x14ac:dyDescent="0.3">
      <c r="A872" s="2">
        <v>330</v>
      </c>
      <c r="B872" s="2">
        <v>28</v>
      </c>
      <c r="C872" s="6">
        <v>1068</v>
      </c>
      <c r="D872" s="2">
        <v>6</v>
      </c>
      <c r="E872" s="2" t="s">
        <v>24</v>
      </c>
      <c r="F872" s="2" t="s">
        <v>33</v>
      </c>
    </row>
    <row r="873" spans="1:6" x14ac:dyDescent="0.3">
      <c r="A873" s="2">
        <v>581</v>
      </c>
      <c r="B873" s="2">
        <v>30</v>
      </c>
      <c r="C873" s="6">
        <v>1056</v>
      </c>
      <c r="D873" s="2">
        <v>18</v>
      </c>
      <c r="E873" s="2" t="s">
        <v>25</v>
      </c>
      <c r="F873" s="2" t="s">
        <v>22</v>
      </c>
    </row>
    <row r="874" spans="1:6" x14ac:dyDescent="0.3">
      <c r="A874" s="2">
        <v>162</v>
      </c>
      <c r="B874" s="2">
        <v>30</v>
      </c>
      <c r="C874" s="6">
        <v>1055</v>
      </c>
      <c r="D874" s="2">
        <v>18</v>
      </c>
      <c r="E874" s="2" t="s">
        <v>25</v>
      </c>
      <c r="F874" s="2" t="s">
        <v>22</v>
      </c>
    </row>
    <row r="875" spans="1:6" x14ac:dyDescent="0.3">
      <c r="A875" s="2">
        <v>408</v>
      </c>
      <c r="B875" s="2">
        <v>27</v>
      </c>
      <c r="C875" s="6">
        <v>1053</v>
      </c>
      <c r="D875" s="2">
        <v>15</v>
      </c>
      <c r="E875" s="2" t="s">
        <v>24</v>
      </c>
      <c r="F875" s="2" t="s">
        <v>22</v>
      </c>
    </row>
    <row r="876" spans="1:6" x14ac:dyDescent="0.3">
      <c r="A876" s="2">
        <v>664</v>
      </c>
      <c r="B876" s="2">
        <v>35</v>
      </c>
      <c r="C876" s="6">
        <v>1050</v>
      </c>
      <c r="D876" s="2">
        <v>6</v>
      </c>
      <c r="E876" s="2" t="s">
        <v>26</v>
      </c>
      <c r="F876" s="2" t="s">
        <v>33</v>
      </c>
    </row>
    <row r="877" spans="1:6" x14ac:dyDescent="0.3">
      <c r="A877" s="2">
        <v>927</v>
      </c>
      <c r="B877" s="2">
        <v>21</v>
      </c>
      <c r="C877" s="6">
        <v>1049</v>
      </c>
      <c r="D877" s="2">
        <v>18</v>
      </c>
      <c r="E877" s="2" t="s">
        <v>26</v>
      </c>
      <c r="F877" s="2" t="s">
        <v>22</v>
      </c>
    </row>
    <row r="878" spans="1:6" x14ac:dyDescent="0.3">
      <c r="A878" s="2">
        <v>742</v>
      </c>
      <c r="B878" s="2">
        <v>23</v>
      </c>
      <c r="C878" s="6">
        <v>1048</v>
      </c>
      <c r="D878" s="2">
        <v>10</v>
      </c>
      <c r="E878" s="2" t="s">
        <v>24</v>
      </c>
      <c r="F878" s="2" t="s">
        <v>33</v>
      </c>
    </row>
    <row r="879" spans="1:6" x14ac:dyDescent="0.3">
      <c r="A879" s="2">
        <v>665</v>
      </c>
      <c r="B879" s="2">
        <v>50</v>
      </c>
      <c r="C879" s="6">
        <v>1047</v>
      </c>
      <c r="D879" s="2">
        <v>6</v>
      </c>
      <c r="E879" s="2" t="s">
        <v>28</v>
      </c>
      <c r="F879" s="2" t="s">
        <v>33</v>
      </c>
    </row>
    <row r="880" spans="1:6" x14ac:dyDescent="0.3">
      <c r="A880" s="2">
        <v>420</v>
      </c>
      <c r="B880" s="2">
        <v>33</v>
      </c>
      <c r="C880" s="6">
        <v>1042</v>
      </c>
      <c r="D880" s="2">
        <v>18</v>
      </c>
      <c r="E880" s="2" t="s">
        <v>25</v>
      </c>
      <c r="F880" s="2" t="s">
        <v>22</v>
      </c>
    </row>
    <row r="881" spans="1:6" x14ac:dyDescent="0.3">
      <c r="A881" s="2">
        <v>304</v>
      </c>
      <c r="B881" s="2">
        <v>49</v>
      </c>
      <c r="C881" s="6">
        <v>1038</v>
      </c>
      <c r="D881" s="2">
        <v>10</v>
      </c>
      <c r="E881" s="2" t="s">
        <v>25</v>
      </c>
      <c r="F881" s="2" t="s">
        <v>33</v>
      </c>
    </row>
    <row r="882" spans="1:6" x14ac:dyDescent="0.3">
      <c r="A882" s="2">
        <v>479</v>
      </c>
      <c r="B882" s="2">
        <v>39</v>
      </c>
      <c r="C882" s="6">
        <v>1037</v>
      </c>
      <c r="D882" s="2">
        <v>12</v>
      </c>
      <c r="E882" s="2" t="s">
        <v>23</v>
      </c>
      <c r="F882" s="2" t="s">
        <v>33</v>
      </c>
    </row>
    <row r="883" spans="1:6" x14ac:dyDescent="0.3">
      <c r="A883" s="2">
        <v>325</v>
      </c>
      <c r="B883" s="2">
        <v>36</v>
      </c>
      <c r="C883" s="6">
        <v>1028</v>
      </c>
      <c r="D883" s="2">
        <v>18</v>
      </c>
      <c r="E883" s="2" t="s">
        <v>25</v>
      </c>
      <c r="F883" s="2" t="s">
        <v>22</v>
      </c>
    </row>
    <row r="884" spans="1:6" x14ac:dyDescent="0.3">
      <c r="A884" s="2">
        <v>290</v>
      </c>
      <c r="B884" s="2">
        <v>48</v>
      </c>
      <c r="C884" s="6">
        <v>1024</v>
      </c>
      <c r="D884" s="2">
        <v>24</v>
      </c>
      <c r="E884" s="2" t="s">
        <v>24</v>
      </c>
      <c r="F884" s="2" t="s">
        <v>22</v>
      </c>
    </row>
    <row r="885" spans="1:6" x14ac:dyDescent="0.3">
      <c r="A885" s="2">
        <v>68</v>
      </c>
      <c r="B885" s="2">
        <v>22</v>
      </c>
      <c r="C885" s="6">
        <v>1007</v>
      </c>
      <c r="D885" s="2">
        <v>12</v>
      </c>
      <c r="E885" s="2" t="s">
        <v>25</v>
      </c>
      <c r="F885" s="2" t="s">
        <v>33</v>
      </c>
    </row>
    <row r="886" spans="1:6" x14ac:dyDescent="0.3">
      <c r="A886" s="2">
        <v>270</v>
      </c>
      <c r="B886" s="2">
        <v>25</v>
      </c>
      <c r="C886" s="6">
        <v>999</v>
      </c>
      <c r="D886" s="2">
        <v>24</v>
      </c>
      <c r="E886" s="2" t="s">
        <v>24</v>
      </c>
      <c r="F886" s="2" t="s">
        <v>22</v>
      </c>
    </row>
    <row r="887" spans="1:6" x14ac:dyDescent="0.3">
      <c r="A887" s="2">
        <v>551</v>
      </c>
      <c r="B887" s="2">
        <v>23</v>
      </c>
      <c r="C887" s="6">
        <v>996</v>
      </c>
      <c r="D887" s="2">
        <v>12</v>
      </c>
      <c r="E887" s="2" t="s">
        <v>29</v>
      </c>
      <c r="F887" s="2" t="s">
        <v>33</v>
      </c>
    </row>
    <row r="888" spans="1:6" x14ac:dyDescent="0.3">
      <c r="A888" s="2">
        <v>392</v>
      </c>
      <c r="B888" s="2">
        <v>19</v>
      </c>
      <c r="C888" s="6">
        <v>983</v>
      </c>
      <c r="D888" s="2">
        <v>12</v>
      </c>
      <c r="E888" s="2" t="s">
        <v>26</v>
      </c>
      <c r="F888" s="2" t="s">
        <v>33</v>
      </c>
    </row>
    <row r="889" spans="1:6" x14ac:dyDescent="0.3">
      <c r="A889" s="2">
        <v>752</v>
      </c>
      <c r="B889" s="2">
        <v>23</v>
      </c>
      <c r="C889" s="6">
        <v>976</v>
      </c>
      <c r="D889" s="2">
        <v>18</v>
      </c>
      <c r="E889" s="2" t="s">
        <v>25</v>
      </c>
      <c r="F889" s="2" t="s">
        <v>22</v>
      </c>
    </row>
    <row r="890" spans="1:6" x14ac:dyDescent="0.3">
      <c r="A890" s="2">
        <v>804</v>
      </c>
      <c r="B890" s="2">
        <v>35</v>
      </c>
      <c r="C890" s="6">
        <v>976</v>
      </c>
      <c r="D890" s="2">
        <v>12</v>
      </c>
      <c r="E890" s="2" t="s">
        <v>24</v>
      </c>
      <c r="F890" s="2" t="s">
        <v>33</v>
      </c>
    </row>
    <row r="891" spans="1:6" x14ac:dyDescent="0.3">
      <c r="A891" s="2">
        <v>691</v>
      </c>
      <c r="B891" s="2">
        <v>25</v>
      </c>
      <c r="C891" s="6">
        <v>975</v>
      </c>
      <c r="D891" s="2">
        <v>15</v>
      </c>
      <c r="E891" s="2" t="s">
        <v>26</v>
      </c>
      <c r="F891" s="2" t="s">
        <v>22</v>
      </c>
    </row>
    <row r="892" spans="1:6" x14ac:dyDescent="0.3">
      <c r="A892" s="2">
        <v>484</v>
      </c>
      <c r="B892" s="2">
        <v>30</v>
      </c>
      <c r="C892" s="6">
        <v>960</v>
      </c>
      <c r="D892" s="2">
        <v>15</v>
      </c>
      <c r="E892" s="2" t="s">
        <v>26</v>
      </c>
      <c r="F892" s="2" t="s">
        <v>22</v>
      </c>
    </row>
    <row r="893" spans="1:6" x14ac:dyDescent="0.3">
      <c r="A893" s="2">
        <v>352</v>
      </c>
      <c r="B893" s="2">
        <v>29</v>
      </c>
      <c r="C893" s="6">
        <v>959</v>
      </c>
      <c r="D893" s="2">
        <v>9</v>
      </c>
      <c r="E893" s="2" t="s">
        <v>26</v>
      </c>
      <c r="F893" s="2" t="s">
        <v>33</v>
      </c>
    </row>
    <row r="894" spans="1:6" x14ac:dyDescent="0.3">
      <c r="A894" s="2">
        <v>423</v>
      </c>
      <c r="B894" s="2">
        <v>47</v>
      </c>
      <c r="C894" s="6">
        <v>958</v>
      </c>
      <c r="D894" s="2">
        <v>12</v>
      </c>
      <c r="E894" s="2" t="s">
        <v>25</v>
      </c>
      <c r="F894" s="2" t="s">
        <v>33</v>
      </c>
    </row>
    <row r="895" spans="1:6" x14ac:dyDescent="0.3">
      <c r="A895" s="2">
        <v>198</v>
      </c>
      <c r="B895" s="2">
        <v>27</v>
      </c>
      <c r="C895" s="6">
        <v>951</v>
      </c>
      <c r="D895" s="2">
        <v>12</v>
      </c>
      <c r="E895" s="2" t="s">
        <v>26</v>
      </c>
      <c r="F895" s="2" t="s">
        <v>33</v>
      </c>
    </row>
    <row r="896" spans="1:6" x14ac:dyDescent="0.3">
      <c r="A896" s="2">
        <v>171</v>
      </c>
      <c r="B896" s="2">
        <v>33</v>
      </c>
      <c r="C896" s="6">
        <v>950</v>
      </c>
      <c r="D896" s="2">
        <v>15</v>
      </c>
      <c r="E896" s="2" t="s">
        <v>25</v>
      </c>
      <c r="F896" s="2" t="s">
        <v>22</v>
      </c>
    </row>
    <row r="897" spans="1:6" x14ac:dyDescent="0.3">
      <c r="A897" s="2">
        <v>649</v>
      </c>
      <c r="B897" s="2">
        <v>38</v>
      </c>
      <c r="C897" s="6">
        <v>947</v>
      </c>
      <c r="D897" s="2">
        <v>24</v>
      </c>
      <c r="E897" s="2" t="s">
        <v>25</v>
      </c>
      <c r="F897" s="2" t="s">
        <v>22</v>
      </c>
    </row>
    <row r="898" spans="1:6" x14ac:dyDescent="0.3">
      <c r="A898" s="2">
        <v>410</v>
      </c>
      <c r="B898" s="2">
        <v>28</v>
      </c>
      <c r="C898" s="6">
        <v>939</v>
      </c>
      <c r="D898" s="2">
        <v>12</v>
      </c>
      <c r="E898" s="2" t="s">
        <v>25</v>
      </c>
      <c r="F898" s="2" t="s">
        <v>33</v>
      </c>
    </row>
    <row r="899" spans="1:6" x14ac:dyDescent="0.3">
      <c r="A899" s="2">
        <v>580</v>
      </c>
      <c r="B899" s="2">
        <v>27</v>
      </c>
      <c r="C899" s="6">
        <v>937</v>
      </c>
      <c r="D899" s="2">
        <v>24</v>
      </c>
      <c r="E899" s="2" t="s">
        <v>32</v>
      </c>
      <c r="F899" s="2" t="s">
        <v>22</v>
      </c>
    </row>
    <row r="900" spans="1:6" x14ac:dyDescent="0.3">
      <c r="A900" s="2">
        <v>201</v>
      </c>
      <c r="B900" s="2">
        <v>52</v>
      </c>
      <c r="C900" s="6">
        <v>936</v>
      </c>
      <c r="D900" s="2">
        <v>9</v>
      </c>
      <c r="E900" s="2" t="s">
        <v>28</v>
      </c>
      <c r="F900" s="2" t="s">
        <v>33</v>
      </c>
    </row>
    <row r="901" spans="1:6" x14ac:dyDescent="0.3">
      <c r="A901" s="2">
        <v>103</v>
      </c>
      <c r="B901" s="2">
        <v>24</v>
      </c>
      <c r="C901" s="6">
        <v>932</v>
      </c>
      <c r="D901" s="2">
        <v>6</v>
      </c>
      <c r="E901" s="2" t="s">
        <v>24</v>
      </c>
      <c r="F901" s="2" t="s">
        <v>33</v>
      </c>
    </row>
    <row r="902" spans="1:6" x14ac:dyDescent="0.3">
      <c r="A902" s="2">
        <v>216</v>
      </c>
      <c r="B902" s="2">
        <v>39</v>
      </c>
      <c r="C902" s="6">
        <v>932</v>
      </c>
      <c r="D902" s="2">
        <v>6</v>
      </c>
      <c r="E902" s="2" t="s">
        <v>32</v>
      </c>
      <c r="F902" s="2" t="s">
        <v>33</v>
      </c>
    </row>
    <row r="903" spans="1:6" x14ac:dyDescent="0.3">
      <c r="A903" s="2">
        <v>596</v>
      </c>
      <c r="B903" s="2">
        <v>32</v>
      </c>
      <c r="C903" s="6">
        <v>931</v>
      </c>
      <c r="D903" s="2">
        <v>6</v>
      </c>
      <c r="E903" s="2" t="s">
        <v>25</v>
      </c>
      <c r="F903" s="2" t="s">
        <v>33</v>
      </c>
    </row>
    <row r="904" spans="1:6" x14ac:dyDescent="0.3">
      <c r="A904" s="2">
        <v>808</v>
      </c>
      <c r="B904" s="2">
        <v>65</v>
      </c>
      <c r="C904" s="6">
        <v>930</v>
      </c>
      <c r="D904" s="2">
        <v>12</v>
      </c>
      <c r="E904" s="2" t="s">
        <v>24</v>
      </c>
      <c r="F904" s="2" t="s">
        <v>33</v>
      </c>
    </row>
    <row r="905" spans="1:6" x14ac:dyDescent="0.3">
      <c r="A905" s="2">
        <v>943</v>
      </c>
      <c r="B905" s="2">
        <v>31</v>
      </c>
      <c r="C905" s="6">
        <v>929</v>
      </c>
      <c r="D905" s="2">
        <v>24</v>
      </c>
      <c r="E905" s="2" t="s">
        <v>26</v>
      </c>
      <c r="F905" s="2" t="s">
        <v>22</v>
      </c>
    </row>
    <row r="906" spans="1:6" x14ac:dyDescent="0.3">
      <c r="A906" s="2">
        <v>698</v>
      </c>
      <c r="B906" s="2">
        <v>38</v>
      </c>
      <c r="C906" s="6">
        <v>926</v>
      </c>
      <c r="D906" s="2">
        <v>12</v>
      </c>
      <c r="E906" s="2" t="s">
        <v>25</v>
      </c>
      <c r="F906" s="2" t="s">
        <v>33</v>
      </c>
    </row>
    <row r="907" spans="1:6" x14ac:dyDescent="0.3">
      <c r="A907" s="2">
        <v>602</v>
      </c>
      <c r="B907" s="2">
        <v>30</v>
      </c>
      <c r="C907" s="6">
        <v>918</v>
      </c>
      <c r="D907" s="2">
        <v>9</v>
      </c>
      <c r="E907" s="2" t="s">
        <v>26</v>
      </c>
      <c r="F907" s="2" t="s">
        <v>33</v>
      </c>
    </row>
    <row r="908" spans="1:6" x14ac:dyDescent="0.3">
      <c r="A908" s="2">
        <v>241</v>
      </c>
      <c r="B908" s="2">
        <v>29</v>
      </c>
      <c r="C908" s="6">
        <v>915</v>
      </c>
      <c r="D908" s="2">
        <v>24</v>
      </c>
      <c r="E908" s="2" t="s">
        <v>25</v>
      </c>
      <c r="F908" s="2" t="s">
        <v>22</v>
      </c>
    </row>
    <row r="909" spans="1:6" x14ac:dyDescent="0.3">
      <c r="A909" s="2">
        <v>165</v>
      </c>
      <c r="B909" s="2">
        <v>36</v>
      </c>
      <c r="C909" s="6">
        <v>909</v>
      </c>
      <c r="D909" s="2">
        <v>36</v>
      </c>
      <c r="E909" s="2" t="s">
        <v>25</v>
      </c>
      <c r="F909" s="2" t="s">
        <v>22</v>
      </c>
    </row>
    <row r="910" spans="1:6" x14ac:dyDescent="0.3">
      <c r="A910" s="2">
        <v>811</v>
      </c>
      <c r="B910" s="2">
        <v>26</v>
      </c>
      <c r="C910" s="6">
        <v>907</v>
      </c>
      <c r="D910" s="2">
        <v>8</v>
      </c>
      <c r="E910" s="2" t="s">
        <v>23</v>
      </c>
      <c r="F910" s="2" t="s">
        <v>33</v>
      </c>
    </row>
    <row r="911" spans="1:6" x14ac:dyDescent="0.3">
      <c r="A911" s="2">
        <v>204</v>
      </c>
      <c r="B911" s="2">
        <v>21</v>
      </c>
      <c r="C911" s="6">
        <v>902</v>
      </c>
      <c r="D911" s="2">
        <v>12</v>
      </c>
      <c r="E911" s="2" t="s">
        <v>32</v>
      </c>
      <c r="F911" s="2" t="s">
        <v>33</v>
      </c>
    </row>
    <row r="912" spans="1:6" x14ac:dyDescent="0.3">
      <c r="A912" s="2">
        <v>662</v>
      </c>
      <c r="B912" s="2">
        <v>23</v>
      </c>
      <c r="C912" s="6">
        <v>900</v>
      </c>
      <c r="D912" s="2">
        <v>12</v>
      </c>
      <c r="E912" s="2" t="s">
        <v>25</v>
      </c>
      <c r="F912" s="2" t="s">
        <v>33</v>
      </c>
    </row>
    <row r="913" spans="1:6" x14ac:dyDescent="0.3">
      <c r="A913" s="2">
        <v>857</v>
      </c>
      <c r="B913" s="2">
        <v>40</v>
      </c>
      <c r="C913" s="6">
        <v>894</v>
      </c>
      <c r="D913" s="2">
        <v>10</v>
      </c>
      <c r="E913" s="2" t="s">
        <v>32</v>
      </c>
      <c r="F913" s="2" t="s">
        <v>33</v>
      </c>
    </row>
    <row r="914" spans="1:6" x14ac:dyDescent="0.3">
      <c r="A914" s="2">
        <v>657</v>
      </c>
      <c r="B914" s="2">
        <v>41</v>
      </c>
      <c r="C914" s="6">
        <v>888</v>
      </c>
      <c r="D914" s="2">
        <v>12</v>
      </c>
      <c r="E914" s="2" t="s">
        <v>25</v>
      </c>
      <c r="F914" s="2" t="s">
        <v>33</v>
      </c>
    </row>
    <row r="915" spans="1:6" x14ac:dyDescent="0.3">
      <c r="A915" s="2">
        <v>837</v>
      </c>
      <c r="B915" s="2">
        <v>21</v>
      </c>
      <c r="C915" s="6">
        <v>886</v>
      </c>
      <c r="D915" s="2">
        <v>12</v>
      </c>
      <c r="E915" s="2" t="s">
        <v>24</v>
      </c>
      <c r="F915" s="2" t="s">
        <v>33</v>
      </c>
    </row>
    <row r="916" spans="1:6" x14ac:dyDescent="0.3">
      <c r="A916" s="2">
        <v>185</v>
      </c>
      <c r="B916" s="2">
        <v>36</v>
      </c>
      <c r="C916" s="6">
        <v>884</v>
      </c>
      <c r="D916" s="2">
        <v>18</v>
      </c>
      <c r="E916" s="2" t="s">
        <v>25</v>
      </c>
      <c r="F916" s="2" t="s">
        <v>22</v>
      </c>
    </row>
    <row r="917" spans="1:6" x14ac:dyDescent="0.3">
      <c r="A917" s="2">
        <v>347</v>
      </c>
      <c r="B917" s="2">
        <v>23</v>
      </c>
      <c r="C917" s="6">
        <v>882</v>
      </c>
      <c r="D917" s="2">
        <v>13</v>
      </c>
      <c r="E917" s="2" t="s">
        <v>24</v>
      </c>
      <c r="F917" s="2" t="s">
        <v>22</v>
      </c>
    </row>
    <row r="918" spans="1:6" x14ac:dyDescent="0.3">
      <c r="A918" s="2">
        <v>874</v>
      </c>
      <c r="B918" s="2">
        <v>24</v>
      </c>
      <c r="C918" s="6">
        <v>874</v>
      </c>
      <c r="D918" s="2">
        <v>15</v>
      </c>
      <c r="E918" s="2" t="s">
        <v>31</v>
      </c>
      <c r="F918" s="2" t="s">
        <v>22</v>
      </c>
    </row>
    <row r="919" spans="1:6" x14ac:dyDescent="0.3">
      <c r="A919" s="2">
        <v>234</v>
      </c>
      <c r="B919" s="2">
        <v>25</v>
      </c>
      <c r="C919" s="6">
        <v>866</v>
      </c>
      <c r="D919" s="2">
        <v>18</v>
      </c>
      <c r="E919" s="2" t="s">
        <v>24</v>
      </c>
      <c r="F919" s="2" t="s">
        <v>22</v>
      </c>
    </row>
    <row r="920" spans="1:6" x14ac:dyDescent="0.3">
      <c r="A920" s="2">
        <v>147</v>
      </c>
      <c r="B920" s="2">
        <v>39</v>
      </c>
      <c r="C920" s="6">
        <v>860</v>
      </c>
      <c r="D920" s="2">
        <v>6</v>
      </c>
      <c r="E920" s="2" t="s">
        <v>25</v>
      </c>
      <c r="F920" s="2" t="s">
        <v>33</v>
      </c>
    </row>
    <row r="921" spans="1:6" x14ac:dyDescent="0.3">
      <c r="A921" s="2">
        <v>378</v>
      </c>
      <c r="B921" s="2">
        <v>36</v>
      </c>
      <c r="C921" s="6">
        <v>846</v>
      </c>
      <c r="D921" s="2">
        <v>7</v>
      </c>
      <c r="E921" s="2" t="s">
        <v>24</v>
      </c>
      <c r="F921" s="2" t="s">
        <v>33</v>
      </c>
    </row>
    <row r="922" spans="1:6" x14ac:dyDescent="0.3">
      <c r="A922" s="2">
        <v>753</v>
      </c>
      <c r="B922" s="2">
        <v>23</v>
      </c>
      <c r="C922" s="6">
        <v>841</v>
      </c>
      <c r="D922" s="2">
        <v>12</v>
      </c>
      <c r="E922" s="2" t="s">
        <v>23</v>
      </c>
      <c r="F922" s="2" t="s">
        <v>33</v>
      </c>
    </row>
    <row r="923" spans="1:6" x14ac:dyDescent="0.3">
      <c r="A923" s="2">
        <v>784</v>
      </c>
      <c r="B923" s="2">
        <v>23</v>
      </c>
      <c r="C923" s="6">
        <v>836</v>
      </c>
      <c r="D923" s="2">
        <v>12</v>
      </c>
      <c r="E923" s="2" t="s">
        <v>25</v>
      </c>
      <c r="F923" s="2" t="s">
        <v>33</v>
      </c>
    </row>
    <row r="924" spans="1:6" x14ac:dyDescent="0.3">
      <c r="A924" s="2">
        <v>574</v>
      </c>
      <c r="B924" s="2">
        <v>22</v>
      </c>
      <c r="C924" s="6">
        <v>806</v>
      </c>
      <c r="D924" s="2">
        <v>15</v>
      </c>
      <c r="E924" s="2" t="s">
        <v>23</v>
      </c>
      <c r="F924" s="2" t="s">
        <v>22</v>
      </c>
    </row>
    <row r="925" spans="1:6" x14ac:dyDescent="0.3">
      <c r="A925" s="2">
        <v>998</v>
      </c>
      <c r="B925" s="2">
        <v>38</v>
      </c>
      <c r="C925" s="6">
        <v>804</v>
      </c>
      <c r="D925" s="2">
        <v>12</v>
      </c>
      <c r="E925" s="2" t="s">
        <v>24</v>
      </c>
      <c r="F925" s="2" t="s">
        <v>33</v>
      </c>
    </row>
    <row r="926" spans="1:6" x14ac:dyDescent="0.3">
      <c r="A926" s="2">
        <v>266</v>
      </c>
      <c r="B926" s="2">
        <v>37</v>
      </c>
      <c r="C926" s="6">
        <v>802</v>
      </c>
      <c r="D926" s="2">
        <v>15</v>
      </c>
      <c r="E926" s="2" t="s">
        <v>24</v>
      </c>
      <c r="F926" s="2" t="s">
        <v>22</v>
      </c>
    </row>
    <row r="927" spans="1:6" x14ac:dyDescent="0.3">
      <c r="A927" s="2">
        <v>404</v>
      </c>
      <c r="B927" s="2">
        <v>27</v>
      </c>
      <c r="C927" s="6">
        <v>802</v>
      </c>
      <c r="D927" s="2">
        <v>14</v>
      </c>
      <c r="E927" s="2" t="s">
        <v>25</v>
      </c>
      <c r="F927" s="2" t="s">
        <v>22</v>
      </c>
    </row>
    <row r="928" spans="1:6" x14ac:dyDescent="0.3">
      <c r="A928" s="2">
        <v>93</v>
      </c>
      <c r="B928" s="2">
        <v>33</v>
      </c>
      <c r="C928" s="6">
        <v>797</v>
      </c>
      <c r="D928" s="2">
        <v>12</v>
      </c>
      <c r="E928" s="2" t="s">
        <v>24</v>
      </c>
      <c r="F928" s="2" t="s">
        <v>33</v>
      </c>
    </row>
    <row r="929" spans="1:6" x14ac:dyDescent="0.3">
      <c r="A929" s="2">
        <v>886</v>
      </c>
      <c r="B929" s="2">
        <v>53</v>
      </c>
      <c r="C929" s="6">
        <v>795</v>
      </c>
      <c r="D929" s="2">
        <v>12</v>
      </c>
      <c r="E929" s="2" t="s">
        <v>28</v>
      </c>
      <c r="F929" s="2" t="s">
        <v>33</v>
      </c>
    </row>
    <row r="930" spans="1:6" x14ac:dyDescent="0.3">
      <c r="A930" s="2">
        <v>724</v>
      </c>
      <c r="B930" s="2">
        <v>66</v>
      </c>
      <c r="C930" s="6">
        <v>790</v>
      </c>
      <c r="D930" s="2">
        <v>9</v>
      </c>
      <c r="E930" s="2" t="s">
        <v>24</v>
      </c>
      <c r="F930" s="2" t="s">
        <v>33</v>
      </c>
    </row>
    <row r="931" spans="1:6" x14ac:dyDescent="0.3">
      <c r="A931" s="2">
        <v>56</v>
      </c>
      <c r="B931" s="2">
        <v>26</v>
      </c>
      <c r="C931" s="6">
        <v>783</v>
      </c>
      <c r="D931" s="2">
        <v>6</v>
      </c>
      <c r="E931" s="2" t="s">
        <v>25</v>
      </c>
      <c r="F931" s="2" t="s">
        <v>33</v>
      </c>
    </row>
    <row r="932" spans="1:6" x14ac:dyDescent="0.3">
      <c r="A932" s="2">
        <v>124</v>
      </c>
      <c r="B932" s="2">
        <v>63</v>
      </c>
      <c r="C932" s="6">
        <v>781</v>
      </c>
      <c r="D932" s="2">
        <v>10</v>
      </c>
      <c r="E932" s="2" t="s">
        <v>25</v>
      </c>
      <c r="F932" s="2" t="s">
        <v>33</v>
      </c>
    </row>
    <row r="933" spans="1:6" x14ac:dyDescent="0.3">
      <c r="A933" s="2">
        <v>359</v>
      </c>
      <c r="B933" s="2">
        <v>28</v>
      </c>
      <c r="C933" s="6">
        <v>776</v>
      </c>
      <c r="D933" s="2">
        <v>12</v>
      </c>
      <c r="E933" s="2" t="s">
        <v>24</v>
      </c>
      <c r="F933" s="2" t="s">
        <v>33</v>
      </c>
    </row>
    <row r="934" spans="1:6" x14ac:dyDescent="0.3">
      <c r="A934" s="2">
        <v>138</v>
      </c>
      <c r="B934" s="2">
        <v>66</v>
      </c>
      <c r="C934" s="6">
        <v>766</v>
      </c>
      <c r="D934" s="2">
        <v>12</v>
      </c>
      <c r="E934" s="2" t="s">
        <v>24</v>
      </c>
      <c r="F934" s="2" t="s">
        <v>33</v>
      </c>
    </row>
    <row r="935" spans="1:6" x14ac:dyDescent="0.3">
      <c r="A935" s="2">
        <v>172</v>
      </c>
      <c r="B935" s="2">
        <v>26</v>
      </c>
      <c r="C935" s="6">
        <v>763</v>
      </c>
      <c r="D935" s="2">
        <v>12</v>
      </c>
      <c r="E935" s="2" t="s">
        <v>26</v>
      </c>
      <c r="F935" s="2" t="s">
        <v>33</v>
      </c>
    </row>
    <row r="936" spans="1:6" x14ac:dyDescent="0.3">
      <c r="A936" s="2">
        <v>733</v>
      </c>
      <c r="B936" s="2">
        <v>44</v>
      </c>
      <c r="C936" s="6">
        <v>760</v>
      </c>
      <c r="D936" s="2">
        <v>8</v>
      </c>
      <c r="E936" s="2" t="s">
        <v>24</v>
      </c>
      <c r="F936" s="2" t="s">
        <v>33</v>
      </c>
    </row>
    <row r="937" spans="1:6" x14ac:dyDescent="0.3">
      <c r="A937" s="2">
        <v>511</v>
      </c>
      <c r="B937" s="2">
        <v>26</v>
      </c>
      <c r="C937" s="6">
        <v>759</v>
      </c>
      <c r="D937" s="2">
        <v>12</v>
      </c>
      <c r="E937" s="2" t="s">
        <v>25</v>
      </c>
      <c r="F937" s="2" t="s">
        <v>33</v>
      </c>
    </row>
    <row r="938" spans="1:6" x14ac:dyDescent="0.3">
      <c r="A938" s="2">
        <v>464</v>
      </c>
      <c r="B938" s="2">
        <v>38</v>
      </c>
      <c r="C938" s="6">
        <v>754</v>
      </c>
      <c r="D938" s="2">
        <v>12</v>
      </c>
      <c r="E938" s="2" t="s">
        <v>32</v>
      </c>
      <c r="F938" s="2" t="s">
        <v>33</v>
      </c>
    </row>
    <row r="939" spans="1:6" x14ac:dyDescent="0.3">
      <c r="A939" s="2">
        <v>977</v>
      </c>
      <c r="B939" s="2">
        <v>64</v>
      </c>
      <c r="C939" s="6">
        <v>753</v>
      </c>
      <c r="D939" s="2">
        <v>6</v>
      </c>
      <c r="E939" s="2" t="s">
        <v>24</v>
      </c>
      <c r="F939" s="2" t="s">
        <v>33</v>
      </c>
    </row>
    <row r="940" spans="1:6" x14ac:dyDescent="0.3">
      <c r="A940" s="2">
        <v>641</v>
      </c>
      <c r="B940" s="2">
        <v>27</v>
      </c>
      <c r="C940" s="6">
        <v>750</v>
      </c>
      <c r="D940" s="2">
        <v>18</v>
      </c>
      <c r="E940" s="2" t="s">
        <v>28</v>
      </c>
      <c r="F940" s="2" t="s">
        <v>22</v>
      </c>
    </row>
    <row r="941" spans="1:6" x14ac:dyDescent="0.3">
      <c r="A941" s="2">
        <v>937</v>
      </c>
      <c r="B941" s="2">
        <v>28</v>
      </c>
      <c r="C941" s="6">
        <v>745</v>
      </c>
      <c r="D941" s="2">
        <v>9</v>
      </c>
      <c r="E941" s="2" t="s">
        <v>24</v>
      </c>
      <c r="F941" s="2" t="s">
        <v>33</v>
      </c>
    </row>
    <row r="942" spans="1:6" x14ac:dyDescent="0.3">
      <c r="A942" s="2">
        <v>611</v>
      </c>
      <c r="B942" s="2">
        <v>22</v>
      </c>
      <c r="C942" s="6">
        <v>741</v>
      </c>
      <c r="D942" s="2">
        <v>12</v>
      </c>
      <c r="E942" s="2" t="s">
        <v>31</v>
      </c>
      <c r="F942" s="2" t="s">
        <v>33</v>
      </c>
    </row>
    <row r="943" spans="1:6" x14ac:dyDescent="0.3">
      <c r="A943" s="2">
        <v>824</v>
      </c>
      <c r="B943" s="2">
        <v>47</v>
      </c>
      <c r="C943" s="6">
        <v>731</v>
      </c>
      <c r="D943" s="2">
        <v>8</v>
      </c>
      <c r="E943" s="2" t="s">
        <v>25</v>
      </c>
      <c r="F943" s="2" t="s">
        <v>33</v>
      </c>
    </row>
    <row r="944" spans="1:6" x14ac:dyDescent="0.3">
      <c r="A944" s="2">
        <v>72</v>
      </c>
      <c r="B944" s="2">
        <v>46</v>
      </c>
      <c r="C944" s="6">
        <v>730</v>
      </c>
      <c r="D944" s="2">
        <v>7</v>
      </c>
      <c r="E944" s="2" t="s">
        <v>24</v>
      </c>
      <c r="F944" s="2" t="s">
        <v>33</v>
      </c>
    </row>
    <row r="945" spans="1:6" x14ac:dyDescent="0.3">
      <c r="A945" s="2">
        <v>308</v>
      </c>
      <c r="B945" s="2">
        <v>33</v>
      </c>
      <c r="C945" s="6">
        <v>727</v>
      </c>
      <c r="D945" s="2">
        <v>12</v>
      </c>
      <c r="E945" s="2" t="s">
        <v>24</v>
      </c>
      <c r="F945" s="2" t="s">
        <v>33</v>
      </c>
    </row>
    <row r="946" spans="1:6" x14ac:dyDescent="0.3">
      <c r="A946" s="2">
        <v>355</v>
      </c>
      <c r="B946" s="2">
        <v>46</v>
      </c>
      <c r="C946" s="6">
        <v>727</v>
      </c>
      <c r="D946" s="2">
        <v>10</v>
      </c>
      <c r="E946" s="2" t="s">
        <v>28</v>
      </c>
      <c r="F946" s="2" t="s">
        <v>33</v>
      </c>
    </row>
    <row r="947" spans="1:6" x14ac:dyDescent="0.3">
      <c r="A947" s="2">
        <v>444</v>
      </c>
      <c r="B947" s="2">
        <v>41</v>
      </c>
      <c r="C947" s="6">
        <v>719</v>
      </c>
      <c r="D947" s="2">
        <v>12</v>
      </c>
      <c r="E947" s="2" t="s">
        <v>28</v>
      </c>
      <c r="F947" s="2" t="s">
        <v>33</v>
      </c>
    </row>
    <row r="948" spans="1:6" x14ac:dyDescent="0.3">
      <c r="A948" s="2">
        <v>247</v>
      </c>
      <c r="B948" s="2">
        <v>52</v>
      </c>
      <c r="C948" s="6">
        <v>717</v>
      </c>
      <c r="D948" s="2">
        <v>12</v>
      </c>
      <c r="E948" s="2" t="s">
        <v>24</v>
      </c>
      <c r="F948" s="2" t="s">
        <v>33</v>
      </c>
    </row>
    <row r="949" spans="1:6" x14ac:dyDescent="0.3">
      <c r="A949" s="2">
        <v>799</v>
      </c>
      <c r="B949" s="2">
        <v>54</v>
      </c>
      <c r="C949" s="6">
        <v>717</v>
      </c>
      <c r="D949" s="2">
        <v>24</v>
      </c>
      <c r="E949" s="2" t="s">
        <v>25</v>
      </c>
      <c r="F949" s="2" t="s">
        <v>22</v>
      </c>
    </row>
    <row r="950" spans="1:6" x14ac:dyDescent="0.3">
      <c r="A950" s="2">
        <v>141</v>
      </c>
      <c r="B950" s="2">
        <v>27</v>
      </c>
      <c r="C950" s="6">
        <v>709</v>
      </c>
      <c r="D950" s="2">
        <v>6</v>
      </c>
      <c r="E950" s="2" t="s">
        <v>25</v>
      </c>
      <c r="F950" s="2" t="s">
        <v>33</v>
      </c>
    </row>
    <row r="951" spans="1:6" x14ac:dyDescent="0.3">
      <c r="A951" s="2">
        <v>850</v>
      </c>
      <c r="B951" s="2">
        <v>57</v>
      </c>
      <c r="C951" s="6">
        <v>709</v>
      </c>
      <c r="D951" s="2">
        <v>12</v>
      </c>
      <c r="E951" s="2" t="s">
        <v>24</v>
      </c>
      <c r="F951" s="2" t="s">
        <v>33</v>
      </c>
    </row>
    <row r="952" spans="1:6" x14ac:dyDescent="0.3">
      <c r="A952" s="2">
        <v>317</v>
      </c>
      <c r="B952" s="2">
        <v>38</v>
      </c>
      <c r="C952" s="6">
        <v>708</v>
      </c>
      <c r="D952" s="2">
        <v>12</v>
      </c>
      <c r="E952" s="2" t="s">
        <v>26</v>
      </c>
      <c r="F952" s="2" t="s">
        <v>33</v>
      </c>
    </row>
    <row r="953" spans="1:6" x14ac:dyDescent="0.3">
      <c r="A953" s="2">
        <v>223</v>
      </c>
      <c r="B953" s="2">
        <v>30</v>
      </c>
      <c r="C953" s="6">
        <v>707</v>
      </c>
      <c r="D953" s="2">
        <v>12</v>
      </c>
      <c r="E953" s="2" t="s">
        <v>24</v>
      </c>
      <c r="F953" s="2" t="s">
        <v>33</v>
      </c>
    </row>
    <row r="954" spans="1:6" x14ac:dyDescent="0.3">
      <c r="A954" s="2">
        <v>127</v>
      </c>
      <c r="B954" s="2">
        <v>40</v>
      </c>
      <c r="C954" s="6">
        <v>701</v>
      </c>
      <c r="D954" s="2">
        <v>12</v>
      </c>
      <c r="E954" s="2" t="s">
        <v>24</v>
      </c>
      <c r="F954" s="2" t="s">
        <v>33</v>
      </c>
    </row>
    <row r="955" spans="1:6" x14ac:dyDescent="0.3">
      <c r="A955" s="2">
        <v>319</v>
      </c>
      <c r="B955" s="2">
        <v>32</v>
      </c>
      <c r="C955" s="6">
        <v>701</v>
      </c>
      <c r="D955" s="2">
        <v>12</v>
      </c>
      <c r="E955" s="2" t="s">
        <v>28</v>
      </c>
      <c r="F955" s="2" t="s">
        <v>33</v>
      </c>
    </row>
    <row r="956" spans="1:6" x14ac:dyDescent="0.3">
      <c r="A956" s="2">
        <v>520</v>
      </c>
      <c r="B956" s="2">
        <v>36</v>
      </c>
      <c r="C956" s="6">
        <v>700</v>
      </c>
      <c r="D956" s="2">
        <v>6</v>
      </c>
      <c r="E956" s="2" t="s">
        <v>24</v>
      </c>
      <c r="F956" s="2" t="s">
        <v>33</v>
      </c>
    </row>
    <row r="957" spans="1:6" x14ac:dyDescent="0.3">
      <c r="A957" s="2">
        <v>926</v>
      </c>
      <c r="B957" s="2">
        <v>46</v>
      </c>
      <c r="C957" s="6">
        <v>697</v>
      </c>
      <c r="D957" s="2">
        <v>12</v>
      </c>
      <c r="E957" s="2" t="s">
        <v>25</v>
      </c>
      <c r="F957" s="2" t="s">
        <v>33</v>
      </c>
    </row>
    <row r="958" spans="1:6" x14ac:dyDescent="0.3">
      <c r="A958" s="2">
        <v>760</v>
      </c>
      <c r="B958" s="2">
        <v>35</v>
      </c>
      <c r="C958" s="6">
        <v>691</v>
      </c>
      <c r="D958" s="2">
        <v>12</v>
      </c>
      <c r="E958" s="2" t="s">
        <v>25</v>
      </c>
      <c r="F958" s="2" t="s">
        <v>33</v>
      </c>
    </row>
    <row r="959" spans="1:6" x14ac:dyDescent="0.3">
      <c r="A959" s="2">
        <v>314</v>
      </c>
      <c r="B959" s="2">
        <v>25</v>
      </c>
      <c r="C959" s="6">
        <v>685</v>
      </c>
      <c r="D959" s="2">
        <v>12</v>
      </c>
      <c r="E959" s="2" t="s">
        <v>25</v>
      </c>
      <c r="F959" s="2" t="s">
        <v>33</v>
      </c>
    </row>
    <row r="960" spans="1:6" x14ac:dyDescent="0.3">
      <c r="A960" s="2">
        <v>650</v>
      </c>
      <c r="B960" s="2">
        <v>40</v>
      </c>
      <c r="C960" s="6">
        <v>684</v>
      </c>
      <c r="D960" s="2">
        <v>12</v>
      </c>
      <c r="E960" s="2" t="s">
        <v>28</v>
      </c>
      <c r="F960" s="2" t="s">
        <v>33</v>
      </c>
    </row>
    <row r="961" spans="1:6" x14ac:dyDescent="0.3">
      <c r="A961" s="2">
        <v>563</v>
      </c>
      <c r="B961" s="2">
        <v>29</v>
      </c>
      <c r="C961" s="6">
        <v>683</v>
      </c>
      <c r="D961" s="2">
        <v>6</v>
      </c>
      <c r="E961" s="2" t="s">
        <v>24</v>
      </c>
      <c r="F961" s="2" t="s">
        <v>33</v>
      </c>
    </row>
    <row r="962" spans="1:6" x14ac:dyDescent="0.3">
      <c r="A962" s="2">
        <v>148</v>
      </c>
      <c r="B962" s="2">
        <v>51</v>
      </c>
      <c r="C962" s="6">
        <v>682</v>
      </c>
      <c r="D962" s="2">
        <v>12</v>
      </c>
      <c r="E962" s="2" t="s">
        <v>25</v>
      </c>
      <c r="F962" s="2" t="s">
        <v>33</v>
      </c>
    </row>
    <row r="963" spans="1:6" x14ac:dyDescent="0.3">
      <c r="A963" s="2">
        <v>189</v>
      </c>
      <c r="B963" s="2">
        <v>20</v>
      </c>
      <c r="C963" s="6">
        <v>674</v>
      </c>
      <c r="D963" s="2">
        <v>12</v>
      </c>
      <c r="E963" s="2" t="s">
        <v>24</v>
      </c>
      <c r="F963" s="2" t="s">
        <v>33</v>
      </c>
    </row>
    <row r="964" spans="1:6" x14ac:dyDescent="0.3">
      <c r="A964" s="2">
        <v>301</v>
      </c>
      <c r="B964" s="2">
        <v>54</v>
      </c>
      <c r="C964" s="6">
        <v>672</v>
      </c>
      <c r="D964" s="2">
        <v>6</v>
      </c>
      <c r="E964" s="2" t="s">
        <v>25</v>
      </c>
      <c r="F964" s="2" t="s">
        <v>33</v>
      </c>
    </row>
    <row r="965" spans="1:6" x14ac:dyDescent="0.3">
      <c r="A965" s="2">
        <v>251</v>
      </c>
      <c r="B965" s="2">
        <v>39</v>
      </c>
      <c r="C965" s="6">
        <v>666</v>
      </c>
      <c r="D965" s="2">
        <v>6</v>
      </c>
      <c r="E965" s="2" t="s">
        <v>25</v>
      </c>
      <c r="F965" s="2" t="s">
        <v>33</v>
      </c>
    </row>
    <row r="966" spans="1:6" x14ac:dyDescent="0.3">
      <c r="A966" s="2">
        <v>530</v>
      </c>
      <c r="B966" s="2">
        <v>41</v>
      </c>
      <c r="C966" s="6">
        <v>662</v>
      </c>
      <c r="D966" s="2">
        <v>6</v>
      </c>
      <c r="E966" s="2" t="s">
        <v>25</v>
      </c>
      <c r="F966" s="2" t="s">
        <v>33</v>
      </c>
    </row>
    <row r="967" spans="1:6" x14ac:dyDescent="0.3">
      <c r="A967" s="2">
        <v>437</v>
      </c>
      <c r="B967" s="2">
        <v>23</v>
      </c>
      <c r="C967" s="6">
        <v>660</v>
      </c>
      <c r="D967" s="2">
        <v>6</v>
      </c>
      <c r="E967" s="2" t="s">
        <v>29</v>
      </c>
      <c r="F967" s="2" t="s">
        <v>33</v>
      </c>
    </row>
    <row r="968" spans="1:6" x14ac:dyDescent="0.3">
      <c r="A968" s="2">
        <v>473</v>
      </c>
      <c r="B968" s="2">
        <v>28</v>
      </c>
      <c r="C968" s="6">
        <v>654</v>
      </c>
      <c r="D968" s="2">
        <v>9</v>
      </c>
      <c r="E968" s="2" t="s">
        <v>25</v>
      </c>
      <c r="F968" s="2" t="s">
        <v>33</v>
      </c>
    </row>
    <row r="969" spans="1:6" x14ac:dyDescent="0.3">
      <c r="A969" s="2">
        <v>870</v>
      </c>
      <c r="B969" s="2">
        <v>24</v>
      </c>
      <c r="C969" s="6">
        <v>652</v>
      </c>
      <c r="D969" s="2">
        <v>12</v>
      </c>
      <c r="E969" s="2" t="s">
        <v>26</v>
      </c>
      <c r="F969" s="2" t="s">
        <v>33</v>
      </c>
    </row>
    <row r="970" spans="1:6" x14ac:dyDescent="0.3">
      <c r="A970" s="2">
        <v>620</v>
      </c>
      <c r="B970" s="2">
        <v>49</v>
      </c>
      <c r="C970" s="6">
        <v>640</v>
      </c>
      <c r="D970" s="2">
        <v>12</v>
      </c>
      <c r="E970" s="2" t="s">
        <v>25</v>
      </c>
      <c r="F970" s="2" t="s">
        <v>33</v>
      </c>
    </row>
    <row r="971" spans="1:6" x14ac:dyDescent="0.3">
      <c r="A971" s="2">
        <v>128</v>
      </c>
      <c r="B971" s="2">
        <v>30</v>
      </c>
      <c r="C971" s="6">
        <v>639</v>
      </c>
      <c r="D971" s="2">
        <v>12</v>
      </c>
      <c r="E971" s="2" t="s">
        <v>29</v>
      </c>
      <c r="F971" s="2" t="s">
        <v>33</v>
      </c>
    </row>
    <row r="972" spans="1:6" x14ac:dyDescent="0.3">
      <c r="A972" s="2">
        <v>711</v>
      </c>
      <c r="B972" s="2">
        <v>32</v>
      </c>
      <c r="C972" s="6">
        <v>629</v>
      </c>
      <c r="D972" s="2">
        <v>18</v>
      </c>
      <c r="E972" s="2" t="s">
        <v>24</v>
      </c>
      <c r="F972" s="2" t="s">
        <v>22</v>
      </c>
    </row>
    <row r="973" spans="1:6" x14ac:dyDescent="0.3">
      <c r="A973" s="2">
        <v>549</v>
      </c>
      <c r="B973" s="2">
        <v>24</v>
      </c>
      <c r="C973" s="6">
        <v>626</v>
      </c>
      <c r="D973" s="2">
        <v>12</v>
      </c>
      <c r="E973" s="2" t="s">
        <v>24</v>
      </c>
      <c r="F973" s="2" t="s">
        <v>33</v>
      </c>
    </row>
    <row r="974" spans="1:6" x14ac:dyDescent="0.3">
      <c r="A974" s="2">
        <v>221</v>
      </c>
      <c r="B974" s="2">
        <v>26</v>
      </c>
      <c r="C974" s="6">
        <v>625</v>
      </c>
      <c r="D974" s="2">
        <v>12</v>
      </c>
      <c r="E974" s="2" t="s">
        <v>24</v>
      </c>
      <c r="F974" s="2" t="s">
        <v>33</v>
      </c>
    </row>
    <row r="975" spans="1:6" x14ac:dyDescent="0.3">
      <c r="A975" s="2">
        <v>91</v>
      </c>
      <c r="B975" s="2">
        <v>56</v>
      </c>
      <c r="C975" s="6">
        <v>618</v>
      </c>
      <c r="D975" s="2">
        <v>12</v>
      </c>
      <c r="E975" s="2" t="s">
        <v>24</v>
      </c>
      <c r="F975" s="2" t="s">
        <v>33</v>
      </c>
    </row>
    <row r="976" spans="1:6" x14ac:dyDescent="0.3">
      <c r="A976" s="2">
        <v>440</v>
      </c>
      <c r="B976" s="2">
        <v>26</v>
      </c>
      <c r="C976" s="6">
        <v>609</v>
      </c>
      <c r="D976" s="2">
        <v>12</v>
      </c>
      <c r="E976" s="2" t="s">
        <v>23</v>
      </c>
      <c r="F976" s="2" t="s">
        <v>33</v>
      </c>
    </row>
    <row r="977" spans="1:6" x14ac:dyDescent="0.3">
      <c r="A977" s="2">
        <v>516</v>
      </c>
      <c r="B977" s="2">
        <v>37</v>
      </c>
      <c r="C977" s="6">
        <v>609</v>
      </c>
      <c r="D977" s="2">
        <v>6</v>
      </c>
      <c r="E977" s="2" t="s">
        <v>25</v>
      </c>
      <c r="F977" s="2" t="s">
        <v>33</v>
      </c>
    </row>
    <row r="978" spans="1:6" x14ac:dyDescent="0.3">
      <c r="A978" s="2">
        <v>838</v>
      </c>
      <c r="B978" s="2">
        <v>23</v>
      </c>
      <c r="C978" s="6">
        <v>601</v>
      </c>
      <c r="D978" s="2">
        <v>4</v>
      </c>
      <c r="E978" s="2" t="s">
        <v>26</v>
      </c>
      <c r="F978" s="2" t="s">
        <v>33</v>
      </c>
    </row>
    <row r="979" spans="1:6" x14ac:dyDescent="0.3">
      <c r="A979" s="2">
        <v>807</v>
      </c>
      <c r="B979" s="2">
        <v>26</v>
      </c>
      <c r="C979" s="6">
        <v>590</v>
      </c>
      <c r="D979" s="2">
        <v>6</v>
      </c>
      <c r="E979" s="2" t="s">
        <v>24</v>
      </c>
      <c r="F979" s="2" t="s">
        <v>33</v>
      </c>
    </row>
    <row r="980" spans="1:6" x14ac:dyDescent="0.3">
      <c r="A980" s="2">
        <v>514</v>
      </c>
      <c r="B980" s="2">
        <v>20</v>
      </c>
      <c r="C980" s="6">
        <v>585</v>
      </c>
      <c r="D980" s="2">
        <v>12</v>
      </c>
      <c r="E980" s="2" t="s">
        <v>24</v>
      </c>
      <c r="F980" s="2" t="s">
        <v>33</v>
      </c>
    </row>
    <row r="981" spans="1:6" x14ac:dyDescent="0.3">
      <c r="A981" s="2">
        <v>180</v>
      </c>
      <c r="B981" s="2">
        <v>65</v>
      </c>
      <c r="C981" s="6">
        <v>571</v>
      </c>
      <c r="D981" s="2">
        <v>21</v>
      </c>
      <c r="E981" s="2" t="s">
        <v>25</v>
      </c>
      <c r="F981" s="2" t="s">
        <v>22</v>
      </c>
    </row>
    <row r="982" spans="1:6" x14ac:dyDescent="0.3">
      <c r="A982" s="2">
        <v>934</v>
      </c>
      <c r="B982" s="2">
        <v>42</v>
      </c>
      <c r="C982" s="6">
        <v>522</v>
      </c>
      <c r="D982" s="2">
        <v>12</v>
      </c>
      <c r="E982" s="2" t="s">
        <v>24</v>
      </c>
      <c r="F982" s="2" t="s">
        <v>33</v>
      </c>
    </row>
    <row r="983" spans="1:6" x14ac:dyDescent="0.3">
      <c r="A983" s="2">
        <v>452</v>
      </c>
      <c r="B983" s="2">
        <v>29</v>
      </c>
      <c r="C983" s="6">
        <v>518</v>
      </c>
      <c r="D983" s="2">
        <v>6</v>
      </c>
      <c r="E983" s="2" t="s">
        <v>24</v>
      </c>
      <c r="F983" s="2" t="s">
        <v>33</v>
      </c>
    </row>
    <row r="984" spans="1:6" x14ac:dyDescent="0.3">
      <c r="A984" s="2">
        <v>812</v>
      </c>
      <c r="B984" s="2">
        <v>28</v>
      </c>
      <c r="C984" s="6">
        <v>484</v>
      </c>
      <c r="D984" s="2">
        <v>6</v>
      </c>
      <c r="E984" s="2" t="s">
        <v>24</v>
      </c>
      <c r="F984" s="2" t="s">
        <v>33</v>
      </c>
    </row>
    <row r="985" spans="1:6" x14ac:dyDescent="0.3">
      <c r="A985" s="2">
        <v>40</v>
      </c>
      <c r="B985" s="2">
        <v>24</v>
      </c>
      <c r="C985" s="6">
        <v>458</v>
      </c>
      <c r="D985" s="2">
        <v>9</v>
      </c>
      <c r="E985" s="2" t="s">
        <v>24</v>
      </c>
      <c r="F985" s="2" t="s">
        <v>33</v>
      </c>
    </row>
    <row r="986" spans="1:6" x14ac:dyDescent="0.3">
      <c r="A986" s="2">
        <v>965</v>
      </c>
      <c r="B986" s="2">
        <v>22</v>
      </c>
      <c r="C986" s="6">
        <v>454</v>
      </c>
      <c r="D986" s="2">
        <v>6</v>
      </c>
      <c r="E986" s="2" t="s">
        <v>29</v>
      </c>
      <c r="F986" s="2" t="s">
        <v>33</v>
      </c>
    </row>
    <row r="987" spans="1:6" x14ac:dyDescent="0.3">
      <c r="A987" s="2">
        <v>472</v>
      </c>
      <c r="B987" s="2">
        <v>23</v>
      </c>
      <c r="C987" s="6">
        <v>448</v>
      </c>
      <c r="D987" s="2">
        <v>6</v>
      </c>
      <c r="E987" s="2" t="s">
        <v>28</v>
      </c>
      <c r="F987" s="2" t="s">
        <v>33</v>
      </c>
    </row>
    <row r="988" spans="1:6" x14ac:dyDescent="0.3">
      <c r="A988" s="2">
        <v>250</v>
      </c>
      <c r="B988" s="2">
        <v>22</v>
      </c>
      <c r="C988" s="6">
        <v>433</v>
      </c>
      <c r="D988" s="2">
        <v>18</v>
      </c>
      <c r="E988" s="2" t="s">
        <v>24</v>
      </c>
      <c r="F988" s="2" t="s">
        <v>22</v>
      </c>
    </row>
    <row r="989" spans="1:6" x14ac:dyDescent="0.3">
      <c r="A989" s="2">
        <v>722</v>
      </c>
      <c r="B989" s="2">
        <v>24</v>
      </c>
      <c r="C989" s="6">
        <v>433</v>
      </c>
      <c r="D989" s="2">
        <v>6</v>
      </c>
      <c r="E989" s="2" t="s">
        <v>28</v>
      </c>
      <c r="F989" s="2" t="s">
        <v>33</v>
      </c>
    </row>
    <row r="990" spans="1:6" x14ac:dyDescent="0.3">
      <c r="A990" s="2">
        <v>751</v>
      </c>
      <c r="B990" s="2">
        <v>49</v>
      </c>
      <c r="C990" s="6">
        <v>428</v>
      </c>
      <c r="D990" s="2">
        <v>6</v>
      </c>
      <c r="E990" s="2" t="s">
        <v>26</v>
      </c>
      <c r="F990" s="2" t="s">
        <v>33</v>
      </c>
    </row>
    <row r="991" spans="1:6" x14ac:dyDescent="0.3">
      <c r="A991" s="2">
        <v>27</v>
      </c>
      <c r="B991" s="2">
        <v>39</v>
      </c>
      <c r="C991" s="6">
        <v>426</v>
      </c>
      <c r="D991" s="2">
        <v>6</v>
      </c>
      <c r="E991" s="2" t="s">
        <v>24</v>
      </c>
      <c r="F991" s="2" t="s">
        <v>33</v>
      </c>
    </row>
    <row r="992" spans="1:6" x14ac:dyDescent="0.3">
      <c r="A992" s="2">
        <v>28</v>
      </c>
      <c r="B992" s="2">
        <v>42</v>
      </c>
      <c r="C992" s="6">
        <v>409</v>
      </c>
      <c r="D992" s="2">
        <v>12</v>
      </c>
      <c r="E992" s="2" t="s">
        <v>24</v>
      </c>
      <c r="F992" s="2" t="s">
        <v>33</v>
      </c>
    </row>
    <row r="993" spans="1:6" x14ac:dyDescent="0.3">
      <c r="A993" s="2">
        <v>112</v>
      </c>
      <c r="B993" s="2">
        <v>23</v>
      </c>
      <c r="C993" s="6">
        <v>392</v>
      </c>
      <c r="D993" s="2">
        <v>15</v>
      </c>
      <c r="E993" s="2" t="s">
        <v>28</v>
      </c>
      <c r="F993" s="2" t="s">
        <v>22</v>
      </c>
    </row>
    <row r="994" spans="1:6" x14ac:dyDescent="0.3">
      <c r="A994" s="2">
        <v>591</v>
      </c>
      <c r="B994" s="2">
        <v>58</v>
      </c>
      <c r="C994" s="6">
        <v>385</v>
      </c>
      <c r="D994" s="2">
        <v>12</v>
      </c>
      <c r="E994" s="2" t="s">
        <v>24</v>
      </c>
      <c r="F994" s="2" t="s">
        <v>33</v>
      </c>
    </row>
    <row r="995" spans="1:6" x14ac:dyDescent="0.3">
      <c r="A995" s="2">
        <v>494</v>
      </c>
      <c r="B995" s="2">
        <v>38</v>
      </c>
      <c r="C995" s="6">
        <v>368</v>
      </c>
      <c r="D995" s="2">
        <v>6</v>
      </c>
      <c r="E995" s="2" t="s">
        <v>24</v>
      </c>
      <c r="F995" s="2" t="s">
        <v>33</v>
      </c>
    </row>
    <row r="996" spans="1:6" x14ac:dyDescent="0.3">
      <c r="A996" s="2">
        <v>380</v>
      </c>
      <c r="B996" s="2">
        <v>52</v>
      </c>
      <c r="C996" s="6">
        <v>362</v>
      </c>
      <c r="D996" s="2">
        <v>6</v>
      </c>
      <c r="E996" s="2" t="s">
        <v>25</v>
      </c>
      <c r="F996" s="2" t="s">
        <v>33</v>
      </c>
    </row>
    <row r="997" spans="1:6" x14ac:dyDescent="0.3">
      <c r="A997" s="2">
        <v>459</v>
      </c>
      <c r="B997" s="2">
        <v>27</v>
      </c>
      <c r="C997" s="6">
        <v>343</v>
      </c>
      <c r="D997" s="2">
        <v>6</v>
      </c>
      <c r="E997" s="2" t="s">
        <v>31</v>
      </c>
      <c r="F997" s="2" t="s">
        <v>33</v>
      </c>
    </row>
    <row r="998" spans="1:6" x14ac:dyDescent="0.3">
      <c r="A998" s="2">
        <v>158</v>
      </c>
      <c r="B998" s="2">
        <v>45</v>
      </c>
      <c r="C998" s="6">
        <v>339</v>
      </c>
      <c r="D998" s="2">
        <v>12</v>
      </c>
      <c r="E998" s="2" t="s">
        <v>32</v>
      </c>
      <c r="F998" s="2" t="s">
        <v>33</v>
      </c>
    </row>
    <row r="999" spans="1:6" x14ac:dyDescent="0.3">
      <c r="A999" s="2">
        <v>178</v>
      </c>
      <c r="B999" s="2">
        <v>52</v>
      </c>
      <c r="C999" s="6">
        <v>338</v>
      </c>
      <c r="D999" s="2">
        <v>6</v>
      </c>
      <c r="E999" s="2" t="s">
        <v>24</v>
      </c>
      <c r="F999" s="2" t="s">
        <v>33</v>
      </c>
    </row>
    <row r="1000" spans="1:6" x14ac:dyDescent="0.3">
      <c r="A1000" s="2">
        <v>310</v>
      </c>
      <c r="B1000" s="2">
        <v>22</v>
      </c>
      <c r="C1000" s="6">
        <v>276</v>
      </c>
      <c r="D1000" s="2">
        <v>9</v>
      </c>
      <c r="E1000" s="2" t="s">
        <v>25</v>
      </c>
      <c r="F1000" s="2" t="s">
        <v>33</v>
      </c>
    </row>
    <row r="1001" spans="1:6" x14ac:dyDescent="0.3">
      <c r="A1001" s="2">
        <v>726</v>
      </c>
      <c r="B1001" s="2">
        <v>41</v>
      </c>
      <c r="C1001" s="6">
        <v>250</v>
      </c>
      <c r="D1001" s="2">
        <v>6</v>
      </c>
      <c r="E1001" s="2" t="s">
        <v>25</v>
      </c>
      <c r="F1001" s="2" t="s">
        <v>33</v>
      </c>
    </row>
  </sheetData>
  <conditionalFormatting sqref="F2:F1001">
    <cfRule type="cellIs" dxfId="11" priority="4" operator="equal">
      <formula>"Low Risk"</formula>
    </cfRule>
    <cfRule type="cellIs" dxfId="10" priority="5" operator="equal">
      <formula>"Medium Risk"</formula>
    </cfRule>
    <cfRule type="cellIs" dxfId="9" priority="7" operator="equal">
      <formula>"High Risk"</formula>
    </cfRule>
  </conditionalFormatting>
  <conditionalFormatting sqref="J11">
    <cfRule type="cellIs" dxfId="8" priority="3" operator="equal">
      <formula>412</formula>
    </cfRule>
  </conditionalFormatting>
  <conditionalFormatting sqref="J12">
    <cfRule type="cellIs" dxfId="7" priority="2" operator="equal">
      <formula>275</formula>
    </cfRule>
  </conditionalFormatting>
  <conditionalFormatting sqref="J13">
    <cfRule type="cellIs" dxfId="6" priority="1" operator="equal">
      <formula>313</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8D954-F0D3-4A9C-A894-69F690DE47B4}">
  <dimension ref="A3:E15"/>
  <sheetViews>
    <sheetView topLeftCell="A3" workbookViewId="0">
      <selection activeCell="K20" sqref="K20"/>
    </sheetView>
  </sheetViews>
  <sheetFormatPr defaultRowHeight="14.4" x14ac:dyDescent="0.3"/>
  <cols>
    <col min="1" max="1" width="19.6640625" bestFit="1" customWidth="1"/>
    <col min="2" max="2" width="15.5546875" bestFit="1" customWidth="1"/>
    <col min="3" max="3" width="12.88671875" bestFit="1" customWidth="1"/>
    <col min="4" max="5" width="14.5546875" bestFit="1" customWidth="1"/>
    <col min="6" max="6" width="10.88671875" bestFit="1" customWidth="1"/>
    <col min="7" max="8" width="11.88671875" bestFit="1" customWidth="1"/>
    <col min="9" max="9" width="10.88671875" bestFit="1" customWidth="1"/>
    <col min="10" max="10" width="12.88671875" bestFit="1" customWidth="1"/>
    <col min="11" max="12" width="11.88671875" bestFit="1" customWidth="1"/>
    <col min="13" max="13" width="10.88671875" bestFit="1" customWidth="1"/>
    <col min="14" max="14" width="12.88671875" bestFit="1" customWidth="1"/>
    <col min="15" max="15" width="10.88671875" bestFit="1" customWidth="1"/>
    <col min="16" max="19" width="11.88671875" bestFit="1" customWidth="1"/>
    <col min="20" max="20" width="12.88671875" bestFit="1" customWidth="1"/>
    <col min="21" max="24" width="11.88671875" bestFit="1" customWidth="1"/>
    <col min="25" max="25" width="12.88671875" bestFit="1" customWidth="1"/>
    <col min="26" max="26" width="11.88671875" bestFit="1" customWidth="1"/>
    <col min="27" max="27" width="12.88671875" bestFit="1" customWidth="1"/>
    <col min="28" max="28" width="14.5546875" bestFit="1" customWidth="1"/>
    <col min="29" max="29" width="10.88671875" bestFit="1" customWidth="1"/>
    <col min="30" max="30" width="11.88671875" bestFit="1" customWidth="1"/>
    <col min="31" max="32" width="10.88671875" bestFit="1" customWidth="1"/>
    <col min="33" max="34" width="11.88671875" bestFit="1" customWidth="1"/>
    <col min="35" max="35" width="10.88671875" bestFit="1" customWidth="1"/>
    <col min="36" max="37" width="12.88671875" bestFit="1" customWidth="1"/>
    <col min="38" max="38" width="13.88671875" bestFit="1" customWidth="1"/>
    <col min="39" max="39" width="10.88671875" bestFit="1" customWidth="1"/>
    <col min="40" max="40" width="11.88671875" bestFit="1" customWidth="1"/>
    <col min="41" max="41" width="10.88671875" bestFit="1" customWidth="1"/>
    <col min="42" max="42" width="11.88671875" bestFit="1" customWidth="1"/>
    <col min="43" max="43" width="10.88671875" bestFit="1" customWidth="1"/>
    <col min="44" max="45" width="11.88671875" bestFit="1" customWidth="1"/>
    <col min="46" max="46" width="10.88671875" bestFit="1" customWidth="1"/>
    <col min="47" max="47" width="11.88671875" bestFit="1" customWidth="1"/>
    <col min="48" max="48" width="12.88671875" bestFit="1" customWidth="1"/>
    <col min="49" max="50" width="11.88671875" bestFit="1" customWidth="1"/>
    <col min="51" max="51" width="12.88671875" bestFit="1" customWidth="1"/>
    <col min="52" max="52" width="11.88671875" bestFit="1" customWidth="1"/>
    <col min="53" max="53" width="10.88671875" bestFit="1" customWidth="1"/>
    <col min="54" max="54" width="11.88671875" bestFit="1" customWidth="1"/>
    <col min="55" max="55" width="10.88671875" bestFit="1" customWidth="1"/>
    <col min="56" max="56" width="12.88671875" bestFit="1" customWidth="1"/>
    <col min="57" max="58" width="10.88671875" bestFit="1" customWidth="1"/>
    <col min="59" max="60" width="11.88671875" bestFit="1" customWidth="1"/>
    <col min="61" max="61" width="12.88671875" bestFit="1" customWidth="1"/>
    <col min="62" max="62" width="11.88671875" bestFit="1" customWidth="1"/>
    <col min="63" max="63" width="10.88671875" bestFit="1" customWidth="1"/>
    <col min="64" max="64" width="16.6640625" bestFit="1" customWidth="1"/>
    <col min="65" max="65" width="14.5546875" bestFit="1" customWidth="1"/>
    <col min="66" max="359" width="10.88671875" bestFit="1" customWidth="1"/>
    <col min="360" max="399" width="11.88671875" bestFit="1" customWidth="1"/>
    <col min="400" max="400" width="13.33203125" bestFit="1" customWidth="1"/>
    <col min="401" max="401" width="10.21875" bestFit="1" customWidth="1"/>
    <col min="402" max="488" width="9.33203125" bestFit="1" customWidth="1"/>
    <col min="489" max="695" width="10.88671875" bestFit="1" customWidth="1"/>
    <col min="696" max="696" width="12.88671875" bestFit="1" customWidth="1"/>
    <col min="697" max="697" width="13.88671875" bestFit="1" customWidth="1"/>
    <col min="698" max="958" width="10.88671875" bestFit="1" customWidth="1"/>
    <col min="959" max="959" width="16.6640625" bestFit="1" customWidth="1"/>
    <col min="960" max="960" width="10.77734375" bestFit="1" customWidth="1"/>
  </cols>
  <sheetData>
    <row r="3" spans="1:5" x14ac:dyDescent="0.3">
      <c r="A3" s="10" t="s">
        <v>39</v>
      </c>
      <c r="B3" s="10" t="s">
        <v>36</v>
      </c>
    </row>
    <row r="4" spans="1:5" x14ac:dyDescent="0.3">
      <c r="A4" s="10" t="s">
        <v>38</v>
      </c>
      <c r="B4" t="s">
        <v>22</v>
      </c>
      <c r="C4" t="s">
        <v>33</v>
      </c>
      <c r="D4" t="s">
        <v>30</v>
      </c>
      <c r="E4" t="s">
        <v>37</v>
      </c>
    </row>
    <row r="5" spans="1:5" x14ac:dyDescent="0.3">
      <c r="A5" s="11" t="s">
        <v>23</v>
      </c>
      <c r="B5" s="7">
        <v>217965</v>
      </c>
      <c r="C5" s="7">
        <v>20339</v>
      </c>
      <c r="D5" s="7">
        <v>165026</v>
      </c>
      <c r="E5" s="7">
        <v>403330</v>
      </c>
    </row>
    <row r="6" spans="1:5" x14ac:dyDescent="0.3">
      <c r="A6" s="11" t="s">
        <v>31</v>
      </c>
      <c r="B6" s="7">
        <v>4628</v>
      </c>
      <c r="C6" s="7">
        <v>6307</v>
      </c>
      <c r="D6" s="7">
        <v>7041</v>
      </c>
      <c r="E6" s="7">
        <v>17976</v>
      </c>
    </row>
    <row r="7" spans="1:5" x14ac:dyDescent="0.3">
      <c r="A7" s="11" t="s">
        <v>28</v>
      </c>
      <c r="B7" s="7">
        <v>78870</v>
      </c>
      <c r="C7" s="7">
        <v>23755</v>
      </c>
      <c r="D7" s="7">
        <v>56395</v>
      </c>
      <c r="E7" s="7">
        <v>159020</v>
      </c>
    </row>
    <row r="8" spans="1:5" x14ac:dyDescent="0.3">
      <c r="A8" s="11" t="s">
        <v>26</v>
      </c>
      <c r="B8" s="7">
        <v>206864</v>
      </c>
      <c r="C8" s="7">
        <v>94841</v>
      </c>
      <c r="D8" s="7">
        <v>253420</v>
      </c>
      <c r="E8" s="7">
        <v>555125</v>
      </c>
    </row>
    <row r="9" spans="1:5" x14ac:dyDescent="0.3">
      <c r="A9" s="11" t="s">
        <v>25</v>
      </c>
      <c r="B9" s="7">
        <v>379701</v>
      </c>
      <c r="C9" s="7">
        <v>114233</v>
      </c>
      <c r="D9" s="7">
        <v>222814</v>
      </c>
      <c r="E9" s="7">
        <v>716748</v>
      </c>
    </row>
    <row r="10" spans="1:5" x14ac:dyDescent="0.3">
      <c r="A10" s="11" t="s">
        <v>21</v>
      </c>
      <c r="B10" s="7">
        <v>85653</v>
      </c>
      <c r="C10" s="7">
        <v>1164</v>
      </c>
      <c r="D10" s="7">
        <v>11695</v>
      </c>
      <c r="E10" s="7">
        <v>98512</v>
      </c>
    </row>
    <row r="11" spans="1:5" x14ac:dyDescent="0.3">
      <c r="A11" s="11" t="s">
        <v>24</v>
      </c>
      <c r="B11" s="7">
        <v>296825</v>
      </c>
      <c r="C11" s="7">
        <v>134646</v>
      </c>
      <c r="D11" s="7">
        <v>265072</v>
      </c>
      <c r="E11" s="7">
        <v>696543</v>
      </c>
    </row>
    <row r="12" spans="1:5" x14ac:dyDescent="0.3">
      <c r="A12" s="11" t="s">
        <v>29</v>
      </c>
      <c r="B12" s="7">
        <v>29151</v>
      </c>
      <c r="C12" s="7">
        <v>6700</v>
      </c>
      <c r="D12" s="7">
        <v>24167</v>
      </c>
      <c r="E12" s="7">
        <v>60018</v>
      </c>
    </row>
    <row r="13" spans="1:5" x14ac:dyDescent="0.3">
      <c r="A13" s="11" t="s">
        <v>32</v>
      </c>
      <c r="B13" s="7">
        <v>937</v>
      </c>
      <c r="C13" s="7">
        <v>6469</v>
      </c>
      <c r="D13" s="7">
        <v>3447</v>
      </c>
      <c r="E13" s="7">
        <v>10853</v>
      </c>
    </row>
    <row r="14" spans="1:5" x14ac:dyDescent="0.3">
      <c r="A14" s="11" t="s">
        <v>27</v>
      </c>
      <c r="B14" s="7">
        <v>313196</v>
      </c>
      <c r="C14" s="7">
        <v>22325</v>
      </c>
      <c r="D14" s="7">
        <v>217612</v>
      </c>
      <c r="E14" s="7">
        <v>553133</v>
      </c>
    </row>
    <row r="15" spans="1:5" x14ac:dyDescent="0.3">
      <c r="A15" s="11" t="s">
        <v>37</v>
      </c>
      <c r="B15" s="7">
        <v>1613790</v>
      </c>
      <c r="C15" s="7">
        <v>430779</v>
      </c>
      <c r="D15" s="7">
        <v>1226689</v>
      </c>
      <c r="E15" s="7">
        <v>3271258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1388-4E36-4DD2-AD80-0953FBC8A497}">
  <dimension ref="A1:C11"/>
  <sheetViews>
    <sheetView workbookViewId="0">
      <selection activeCell="Q26" sqref="Q26"/>
    </sheetView>
  </sheetViews>
  <sheetFormatPr defaultRowHeight="14.4" x14ac:dyDescent="0.3"/>
  <cols>
    <col min="1" max="1" width="16.88671875" customWidth="1"/>
    <col min="2" max="2" width="18.88671875" customWidth="1"/>
    <col min="3" max="3" width="27.44140625" customWidth="1"/>
  </cols>
  <sheetData>
    <row r="1" spans="1:3" ht="24" customHeight="1" x14ac:dyDescent="0.3">
      <c r="A1" s="2" t="s">
        <v>40</v>
      </c>
      <c r="B1" s="6" t="s">
        <v>41</v>
      </c>
      <c r="C1" s="6" t="s">
        <v>42</v>
      </c>
    </row>
    <row r="2" spans="1:3" x14ac:dyDescent="0.3">
      <c r="A2" s="2" t="s">
        <v>24</v>
      </c>
      <c r="B2" s="6">
        <v>280</v>
      </c>
      <c r="C2" s="6">
        <v>24876536</v>
      </c>
    </row>
    <row r="3" spans="1:3" x14ac:dyDescent="0.3">
      <c r="A3" s="2" t="s">
        <v>25</v>
      </c>
      <c r="B3" s="6">
        <v>234</v>
      </c>
      <c r="C3" s="6">
        <v>30630256</v>
      </c>
    </row>
    <row r="4" spans="1:3" x14ac:dyDescent="0.3">
      <c r="A4" s="2" t="s">
        <v>26</v>
      </c>
      <c r="B4" s="6">
        <v>181</v>
      </c>
      <c r="C4" s="6">
        <v>30669890</v>
      </c>
    </row>
    <row r="5" spans="1:3" x14ac:dyDescent="0.3">
      <c r="A5" s="2" t="s">
        <v>27</v>
      </c>
      <c r="B5" s="6">
        <v>103</v>
      </c>
      <c r="C5" s="6">
        <v>53702233</v>
      </c>
    </row>
    <row r="6" spans="1:3" x14ac:dyDescent="0.3">
      <c r="A6" s="2" t="s">
        <v>23</v>
      </c>
      <c r="B6" s="6">
        <v>97</v>
      </c>
      <c r="C6" s="6">
        <v>41580412</v>
      </c>
    </row>
    <row r="7" spans="1:3" x14ac:dyDescent="0.3">
      <c r="A7" s="2" t="s">
        <v>28</v>
      </c>
      <c r="B7" s="6">
        <v>50</v>
      </c>
      <c r="C7" s="6">
        <v>31804000</v>
      </c>
    </row>
    <row r="8" spans="1:3" x14ac:dyDescent="0.3">
      <c r="A8" s="2" t="s">
        <v>29</v>
      </c>
      <c r="B8" s="6">
        <v>22</v>
      </c>
      <c r="C8" s="6">
        <v>27280909</v>
      </c>
    </row>
    <row r="9" spans="1:3" x14ac:dyDescent="0.3">
      <c r="A9" s="2" t="s">
        <v>31</v>
      </c>
      <c r="B9" s="6">
        <v>12</v>
      </c>
      <c r="C9" s="6">
        <v>14980000</v>
      </c>
    </row>
    <row r="10" spans="1:3" x14ac:dyDescent="0.3">
      <c r="A10" s="2" t="s">
        <v>21</v>
      </c>
      <c r="B10" s="6">
        <v>12</v>
      </c>
      <c r="C10" s="6">
        <v>82093333</v>
      </c>
    </row>
    <row r="11" spans="1:3" x14ac:dyDescent="0.3">
      <c r="A11" s="2" t="s">
        <v>32</v>
      </c>
      <c r="B11" s="6">
        <v>9</v>
      </c>
      <c r="C11" s="6">
        <v>12058889</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XLOOKUP</vt:lpstr>
      <vt:lpstr>Risk Analysis</vt:lpstr>
      <vt:lpstr>Pivot Analysis</vt:lpstr>
      <vt:lpstr>Purpose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nikolas km</dc:creator>
  <cp:lastModifiedBy>nikolas km</cp:lastModifiedBy>
  <dcterms:created xsi:type="dcterms:W3CDTF">2026-02-19T20:02:24Z</dcterms:created>
  <dcterms:modified xsi:type="dcterms:W3CDTF">2026-02-20T22:37:37Z</dcterms:modified>
</cp:coreProperties>
</file>